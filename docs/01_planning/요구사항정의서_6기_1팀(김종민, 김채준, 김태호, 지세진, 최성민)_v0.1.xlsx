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용어 정의" sheetId="2" state="visible" r:id="rId4"/>
    <sheet name="요구사항" sheetId="3" state="visible" r:id="rId5"/>
    <sheet name="온보딩 수집 항목" sheetId="4" state="visible" r:id="rId6"/>
    <sheet name="기기별 활성화" sheetId="5" state="visible" r:id="rId7"/>
    <sheet name="기업요구 매핑" sheetId="6" state="visible" r:id="rId8"/>
  </sheets>
  <definedNames>
    <definedName function="false" hidden="true" localSheetId="2" name="_xlnm._FilterDatabase" vbProcedure="false">요구사항!$A$1:$K$56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<sst xmlns="http://schemas.openxmlformats.org/spreadsheetml/2006/main" count="916" uniqueCount="569">
  <si>
    <t xml:space="preserve">요구사항 정의서</t>
  </si>
  <si>
    <t xml:space="preserve">프로젝트</t>
  </si>
  <si>
    <r>
      <rPr>
        <sz val="10"/>
        <rFont val="Noto Sans CJK SC"/>
        <family val="2"/>
      </rPr>
      <t xml:space="preserve">만성질환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생활습관 챌린지 웹 서비스</t>
    </r>
  </si>
  <si>
    <t xml:space="preserve">팀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</si>
  <si>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헬스케어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김종민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김채준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김태호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지세진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최성민</t>
    </r>
    <r>
      <rPr>
        <sz val="10"/>
        <rFont val="Arial"/>
        <family val="0"/>
        <charset val="1"/>
      </rPr>
      <t xml:space="preserve">)</t>
    </r>
  </si>
  <si>
    <t xml:space="preserve">훈련기관</t>
  </si>
  <si>
    <r>
      <rPr>
        <sz val="10"/>
        <rFont val="Noto Sans CJK SC"/>
        <family val="2"/>
      </rPr>
      <t xml:space="preserve">넥스트러너스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오즈코딩스쿨</t>
    </r>
    <r>
      <rPr>
        <sz val="10"/>
        <rFont val="Arial"/>
        <family val="0"/>
        <charset val="1"/>
      </rPr>
      <t xml:space="preserve">)</t>
    </r>
  </si>
  <si>
    <t xml:space="preserve">참여기업</t>
  </si>
  <si>
    <t xml:space="preserve">Talos</t>
  </si>
  <si>
    <t xml:space="preserve">멘토</t>
  </si>
  <si>
    <t xml:space="preserve">김경수</t>
  </si>
  <si>
    <t xml:space="preserve">버전</t>
  </si>
  <si>
    <r>
      <rPr>
        <sz val="10"/>
        <rFont val="Arial"/>
        <family val="0"/>
        <charset val="1"/>
      </rPr>
      <t xml:space="preserve">v0.1 (</t>
    </r>
    <r>
      <rPr>
        <sz val="10"/>
        <rFont val="Noto Sans CJK SC"/>
        <family val="2"/>
      </rPr>
      <t xml:space="preserve">초안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리뷰 전</t>
    </r>
    <r>
      <rPr>
        <sz val="10"/>
        <rFont val="Arial"/>
        <family val="0"/>
        <charset val="1"/>
      </rPr>
      <t xml:space="preserve">)</t>
    </r>
  </si>
  <si>
    <t xml:space="preserve">작성일</t>
  </si>
  <si>
    <t xml:space="preserve">2026-09-22</t>
  </si>
  <si>
    <t xml:space="preserve">작성자</t>
  </si>
  <si>
    <r>
      <rPr>
        <sz val="10"/>
        <rFont val="Noto Sans CJK SC"/>
        <family val="2"/>
      </rPr>
      <t xml:space="preserve">기획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문서 축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확정 필요</t>
    </r>
    <r>
      <rPr>
        <sz val="10"/>
        <rFont val="Arial"/>
        <family val="0"/>
        <charset val="1"/>
      </rPr>
      <t xml:space="preserve">] / AI </t>
    </r>
    <r>
      <rPr>
        <sz val="10"/>
        <rFont val="Noto Sans CJK SC"/>
        <family val="2"/>
      </rPr>
      <t xml:space="preserve">축 검토</t>
    </r>
  </si>
  <si>
    <t xml:space="preserve">변경 요약</t>
  </si>
  <si>
    <r>
      <rPr>
        <sz val="10"/>
        <rFont val="Noto Sans CJK SC"/>
        <family val="2"/>
      </rPr>
      <t xml:space="preserve">최초 작성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온보딩 수집 항목</t>
    </r>
    <r>
      <rPr>
        <sz val="10"/>
        <rFont val="Arial"/>
        <family val="0"/>
        <charset val="1"/>
      </rPr>
      <t xml:space="preserve">(USER)·</t>
    </r>
    <r>
      <rPr>
        <sz val="10"/>
        <rFont val="Noto Sans CJK SC"/>
        <family val="2"/>
      </rPr>
      <t xml:space="preserve">대상 질환 범위</t>
    </r>
    <r>
      <rPr>
        <sz val="10"/>
        <rFont val="Arial"/>
        <family val="0"/>
        <charset val="1"/>
      </rPr>
      <t xml:space="preserve">(PRED)·</t>
    </r>
    <r>
      <rPr>
        <sz val="10"/>
        <rFont val="Noto Sans CJK SC"/>
        <family val="2"/>
      </rPr>
      <t xml:space="preserve">보유 기기 기반 퀘스트 활성화</t>
    </r>
    <r>
      <rPr>
        <sz val="10"/>
        <rFont val="Arial"/>
        <family val="0"/>
        <charset val="1"/>
      </rPr>
      <t xml:space="preserve">(CHAL)</t>
    </r>
    <r>
      <rPr>
        <sz val="10"/>
        <rFont val="Noto Sans CJK SC"/>
        <family val="2"/>
      </rPr>
      <t xml:space="preserve">를 기획서 논의 결과로 반영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나머지 도메인은 기획서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기준 초안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</si>
  <si>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규칙</t>
    </r>
  </si>
  <si>
    <r>
      <rPr>
        <sz val="10"/>
        <rFont val="Noto Sans CJK SC"/>
        <family val="2"/>
      </rPr>
      <t xml:space="preserve">기능 요구사항 </t>
    </r>
    <r>
      <rPr>
        <sz val="10"/>
        <rFont val="Arial"/>
        <family val="0"/>
        <charset val="1"/>
      </rPr>
      <t xml:space="preserve">FR-&lt;</t>
    </r>
    <r>
      <rPr>
        <sz val="10"/>
        <rFont val="Noto Sans CJK SC"/>
        <family val="2"/>
      </rPr>
      <t xml:space="preserve">도메인</t>
    </r>
    <r>
      <rPr>
        <sz val="10"/>
        <rFont val="Arial"/>
        <family val="0"/>
        <charset val="1"/>
      </rPr>
      <t xml:space="preserve">&gt;-&lt;</t>
    </r>
    <r>
      <rPr>
        <sz val="10"/>
        <rFont val="Noto Sans CJK SC"/>
        <family val="2"/>
      </rPr>
      <t xml:space="preserve">번호</t>
    </r>
    <r>
      <rPr>
        <sz val="10"/>
        <rFont val="Arial"/>
        <family val="0"/>
        <charset val="1"/>
      </rPr>
      <t xml:space="preserve">&gt;, </t>
    </r>
    <r>
      <rPr>
        <sz val="10"/>
        <rFont val="Noto Sans CJK SC"/>
        <family val="2"/>
      </rPr>
      <t xml:space="preserve">비기능 </t>
    </r>
    <r>
      <rPr>
        <sz val="10"/>
        <rFont val="Arial"/>
        <family val="0"/>
        <charset val="1"/>
      </rPr>
      <t xml:space="preserve">NFR-&lt;</t>
    </r>
    <r>
      <rPr>
        <sz val="10"/>
        <rFont val="Noto Sans CJK SC"/>
        <family val="2"/>
      </rPr>
      <t xml:space="preserve">번호</t>
    </r>
    <r>
      <rPr>
        <sz val="10"/>
        <rFont val="Arial"/>
        <family val="0"/>
        <charset val="1"/>
      </rPr>
      <t xml:space="preserve">&gt;. </t>
    </r>
    <r>
      <rPr>
        <sz val="10"/>
        <rFont val="Noto Sans CJK SC"/>
        <family val="2"/>
      </rPr>
      <t xml:space="preserve">한 번 부여한 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는 삭제해도 재사용하지 않고 상태를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바꾼다</t>
    </r>
    <r>
      <rPr>
        <sz val="10"/>
        <rFont val="Arial"/>
        <family val="0"/>
        <charset val="1"/>
      </rPr>
      <t xml:space="preserve">.</t>
    </r>
  </si>
  <si>
    <t xml:space="preserve">도메인 코드</t>
  </si>
  <si>
    <r>
      <rPr>
        <sz val="10"/>
        <rFont val="Arial"/>
        <family val="0"/>
        <charset val="1"/>
      </rPr>
      <t xml:space="preserve">AUTH(</t>
    </r>
    <r>
      <rPr>
        <sz val="10"/>
        <rFont val="Noto Sans CJK SC"/>
        <family val="2"/>
      </rPr>
      <t xml:space="preserve">인증</t>
    </r>
    <r>
      <rPr>
        <sz val="10"/>
        <rFont val="Arial"/>
        <family val="0"/>
        <charset val="1"/>
      </rPr>
      <t xml:space="preserve">) · USER(</t>
    </r>
    <r>
      <rPr>
        <sz val="10"/>
        <rFont val="Noto Sans CJK SC"/>
        <family val="2"/>
      </rPr>
      <t xml:space="preserve">사용자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건강데이터</t>
    </r>
    <r>
      <rPr>
        <sz val="10"/>
        <rFont val="Arial"/>
        <family val="0"/>
        <charset val="1"/>
      </rPr>
      <t xml:space="preserve">) · PRED(</t>
    </r>
    <r>
      <rPr>
        <sz val="10"/>
        <rFont val="Noto Sans CJK SC"/>
        <family val="2"/>
      </rPr>
      <t xml:space="preserve">예측</t>
    </r>
    <r>
      <rPr>
        <sz val="10"/>
        <rFont val="Arial"/>
        <family val="0"/>
        <charset val="1"/>
      </rPr>
      <t xml:space="preserve">) · DASH(</t>
    </r>
    <r>
      <rPr>
        <sz val="10"/>
        <rFont val="Noto Sans CJK SC"/>
        <family val="2"/>
      </rPr>
      <t xml:space="preserve">대시보드</t>
    </r>
    <r>
      <rPr>
        <sz val="10"/>
        <rFont val="Arial"/>
        <family val="0"/>
        <charset val="1"/>
      </rPr>
      <t xml:space="preserve">) · CHAL(</t>
    </r>
    <r>
      <rPr>
        <sz val="10"/>
        <rFont val="Noto Sans CJK SC"/>
        <family val="2"/>
      </rPr>
      <t xml:space="preserve">챌린지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일일 퀘스트</t>
    </r>
    <r>
      <rPr>
        <sz val="10"/>
        <rFont val="Arial"/>
        <family val="0"/>
        <charset val="1"/>
      </rPr>
      <t xml:space="preserve">) · CHAR(</t>
    </r>
    <r>
      <rPr>
        <sz val="10"/>
        <rFont val="Noto Sans CJK SC"/>
        <family val="2"/>
      </rPr>
      <t xml:space="preserve">캐릭터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) · SHOP(</t>
    </r>
    <r>
      <rPr>
        <sz val="10"/>
        <rFont val="Noto Sans CJK SC"/>
        <family val="2"/>
      </rPr>
      <t xml:space="preserve">재화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치장템</t>
    </r>
    <r>
      <rPr>
        <sz val="10"/>
        <rFont val="Arial"/>
        <family val="0"/>
        <charset val="1"/>
      </rPr>
      <t xml:space="preserve">) · RECO(LLM </t>
    </r>
    <r>
      <rPr>
        <sz val="10"/>
        <rFont val="Noto Sans CJK SC"/>
        <family val="2"/>
      </rPr>
      <t xml:space="preserve">추천</t>
    </r>
    <r>
      <rPr>
        <sz val="10"/>
        <rFont val="Arial"/>
        <family val="0"/>
        <charset val="1"/>
      </rPr>
      <t xml:space="preserve">) · NOTI(</t>
    </r>
    <r>
      <rPr>
        <sz val="10"/>
        <rFont val="Noto Sans CJK SC"/>
        <family val="2"/>
      </rPr>
      <t xml:space="preserve">알림</t>
    </r>
    <r>
      <rPr>
        <sz val="10"/>
        <rFont val="Arial"/>
        <family val="0"/>
        <charset val="1"/>
      </rPr>
      <t xml:space="preserve">) · DIET(</t>
    </r>
    <r>
      <rPr>
        <sz val="10"/>
        <rFont val="Noto Sans CJK SC"/>
        <family val="2"/>
      </rPr>
      <t xml:space="preserve">식단 분석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여유 시</t>
    </r>
    <r>
      <rPr>
        <sz val="10"/>
        <rFont val="Arial"/>
        <family val="0"/>
        <charset val="1"/>
      </rPr>
      <t xml:space="preserve">)</t>
    </r>
  </si>
  <si>
    <t xml:space="preserve">우선순위</t>
  </si>
  <si>
    <r>
      <rPr>
        <sz val="10"/>
        <rFont val="Noto Sans CJK SC"/>
        <family val="2"/>
      </rPr>
      <t xml:space="preserve">필수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기업 필수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기능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기반 기능</t>
    </r>
    <r>
      <rPr>
        <sz val="10"/>
        <rFont val="Arial"/>
        <family val="0"/>
        <charset val="1"/>
      </rPr>
      <t xml:space="preserve">(P0) / 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팀 확정 선택 기능</t>
    </r>
    <r>
      <rPr>
        <sz val="10"/>
        <rFont val="Arial"/>
        <family val="0"/>
        <charset val="1"/>
      </rPr>
      <t xml:space="preserve">(P1) / </t>
    </r>
    <r>
      <rPr>
        <sz val="10"/>
        <rFont val="Noto Sans CJK SC"/>
        <family val="2"/>
      </rPr>
      <t xml:space="preserve">여유 시 </t>
    </r>
    <r>
      <rPr>
        <sz val="10"/>
        <rFont val="Arial"/>
        <family val="0"/>
        <charset val="1"/>
      </rPr>
      <t xml:space="preserve">= P2 / </t>
    </r>
    <r>
      <rPr>
        <sz val="10"/>
        <rFont val="Noto Sans CJK SC"/>
        <family val="2"/>
      </rPr>
      <t xml:space="preserve">제외</t>
    </r>
  </si>
  <si>
    <t xml:space="preserve">상태</t>
  </si>
  <si>
    <r>
      <rPr>
        <sz val="10"/>
        <rFont val="Noto Sans CJK SC"/>
        <family val="2"/>
      </rPr>
      <t xml:space="preserve">초안 → 검토 → 확정 → 구현중 → 완료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제외</t>
    </r>
  </si>
  <si>
    <t xml:space="preserve">단일 출처</t>
  </si>
  <si>
    <r>
      <rPr>
        <sz val="10"/>
        <rFont val="Noto Sans CJK SC"/>
        <family val="2"/>
      </rPr>
      <t xml:space="preserve">노션 팀 페이지가 원본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제출 시 이 시트를 최신화한다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</si>
  <si>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요약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자동 계산</t>
    </r>
    <r>
      <rPr>
        <b val="true"/>
        <sz val="11"/>
        <rFont val="Arial"/>
        <family val="0"/>
        <charset val="1"/>
      </rPr>
      <t xml:space="preserve">)</t>
    </r>
  </si>
  <si>
    <t xml:space="preserve">기능 요구사항 수</t>
  </si>
  <si>
    <t xml:space="preserve">비기능 요구사항 수</t>
  </si>
  <si>
    <t xml:space="preserve">필수 항목 수</t>
  </si>
  <si>
    <t xml:space="preserve">선택 항목 수</t>
  </si>
  <si>
    <t xml:space="preserve">여유 시 항목 수</t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</si>
  <si>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축 담당 수</t>
    </r>
  </si>
  <si>
    <t xml:space="preserve">용어</t>
  </si>
  <si>
    <t xml:space="preserve">정의</t>
  </si>
  <si>
    <r>
      <rPr>
        <b val="true"/>
        <sz val="10"/>
        <color rgb="FFFFFFFF"/>
        <rFont val="Noto Sans CJK SC"/>
        <family val="2"/>
      </rPr>
      <t xml:space="preserve">코드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식별자에서의 표기</t>
    </r>
  </si>
  <si>
    <t xml:space="preserve">비고</t>
  </si>
  <si>
    <t xml:space="preserve">위험도</t>
  </si>
  <si>
    <r>
      <rPr>
        <sz val="10"/>
        <rFont val="Noto Sans CJK SC"/>
        <family val="2"/>
      </rPr>
      <t xml:space="preserve">예측 모델이 출력하는 </t>
    </r>
    <r>
      <rPr>
        <sz val="10"/>
        <rFont val="Arial"/>
        <family val="0"/>
        <charset val="1"/>
      </rPr>
      <t xml:space="preserve">0~1 </t>
    </r>
    <r>
      <rPr>
        <sz val="10"/>
        <rFont val="Noto Sans CJK SC"/>
        <family val="2"/>
      </rPr>
      <t xml:space="preserve">확률을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로 표시한 값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질환별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따로 산출</t>
    </r>
  </si>
  <si>
    <t xml:space="preserve">risk_score, disease</t>
  </si>
  <si>
    <t xml:space="preserve">진단이 아님을 화면에 고지</t>
  </si>
  <si>
    <t xml:space="preserve">현재 상태 밴드</t>
  </si>
  <si>
    <r>
      <rPr>
        <sz val="10"/>
        <rFont val="Noto Sans CJK SC"/>
        <family val="2"/>
      </rPr>
      <t xml:space="preserve">사용자가 입력한 최근 측정값을 학회 기준으로 정상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위험으로 나눈 구간</t>
    </r>
  </si>
  <si>
    <t xml:space="preserve">status_band</t>
  </si>
  <si>
    <t xml:space="preserve">모델 입력이 아니라 대시보드 표시용</t>
  </si>
  <si>
    <r>
      <rPr>
        <sz val="10"/>
        <rFont val="Noto Sans CJK SC"/>
        <family val="2"/>
      </rPr>
      <t xml:space="preserve">예방 모드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관리 모드</t>
    </r>
  </si>
  <si>
    <r>
      <rPr>
        <sz val="10"/>
        <rFont val="Noto Sans CJK SC"/>
        <family val="2"/>
      </rPr>
      <t xml:space="preserve">진단 이력이 없거나 전단계면 예방 모드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위험도 중심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진단 이력이 있으면 관리 모드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측정치 목표 범위 유지 중심</t>
    </r>
    <r>
      <rPr>
        <sz val="10"/>
        <rFont val="Arial"/>
        <family val="0"/>
        <charset val="1"/>
      </rPr>
      <t xml:space="preserve">)</t>
    </r>
  </si>
  <si>
    <t xml:space="preserve">user_mode = prevention | management</t>
  </si>
  <si>
    <t xml:space="preserve">홈 카드 문구가 달라짐</t>
  </si>
  <si>
    <t xml:space="preserve">일일 퀘스트</t>
  </si>
  <si>
    <r>
      <rPr>
        <sz val="10"/>
        <rFont val="Noto Sans CJK SC"/>
        <family val="2"/>
      </rPr>
      <t xml:space="preserve">매일 </t>
    </r>
    <r>
      <rPr>
        <sz val="10"/>
        <rFont val="Arial"/>
        <family val="0"/>
        <charset val="1"/>
      </rPr>
      <t xml:space="preserve">06:00 </t>
    </r>
    <r>
      <rPr>
        <sz val="10"/>
        <rFont val="Noto Sans CJK SC"/>
        <family val="2"/>
      </rPr>
      <t xml:space="preserve">생성되는 </t>
    </r>
    <r>
      <rPr>
        <sz val="10"/>
        <rFont val="Arial"/>
        <family val="0"/>
        <charset val="1"/>
      </rPr>
      <t xml:space="preserve">3~5</t>
    </r>
    <r>
      <rPr>
        <sz val="10"/>
        <rFont val="Noto Sans CJK SC"/>
        <family val="2"/>
      </rPr>
      <t xml:space="preserve">개의 생활습관 과제</t>
    </r>
  </si>
  <si>
    <t xml:space="preserve">daily_quests</t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</si>
  <si>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또는 규칙 기반으로 퀘스트 풀에서 선택</t>
    </r>
  </si>
  <si>
    <t xml:space="preserve">퀘스트 풀</t>
  </si>
  <si>
    <r>
      <rPr>
        <sz val="10"/>
        <rFont val="Noto Sans CJK SC"/>
        <family val="2"/>
      </rPr>
      <t xml:space="preserve">팀이 미리 정의한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개의 퀘스트 목록</t>
    </r>
    <r>
      <rPr>
        <sz val="10"/>
        <rFont val="Arial"/>
        <family val="0"/>
        <charset val="1"/>
      </rPr>
      <t xml:space="preserve">. LLM</t>
    </r>
    <r>
      <rPr>
        <sz val="10"/>
        <rFont val="Noto Sans CJK SC"/>
        <family val="2"/>
      </rPr>
      <t xml:space="preserve">은 이 안에서만 고른다</t>
    </r>
  </si>
  <si>
    <t xml:space="preserve">quest_pool</t>
  </si>
  <si>
    <t xml:space="preserve">학회 생활수칙 기반</t>
  </si>
  <si>
    <r>
      <rPr>
        <sz val="10"/>
        <rFont val="Noto Sans CJK SC"/>
        <family val="2"/>
      </rPr>
      <t xml:space="preserve">체크형 퀘스트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기록형 퀘스트</t>
    </r>
  </si>
  <si>
    <r>
      <rPr>
        <sz val="10"/>
        <rFont val="Noto Sans CJK SC"/>
        <family val="2"/>
      </rPr>
      <t xml:space="preserve">체크형은 완료 버튼만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기록형은 측정값 입력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체중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완료 조건</t>
    </r>
  </si>
  <si>
    <t xml:space="preserve">quest_type = check | record</t>
  </si>
  <si>
    <t xml:space="preserve">기록형은 보유 기기가 있을 때만 활성</t>
  </si>
  <si>
    <t xml:space="preserve">체크인</t>
  </si>
  <si>
    <t xml:space="preserve">퀘스트 완료 처리 행위</t>
  </si>
  <si>
    <t xml:space="preserve">quest_completions</t>
  </si>
  <si>
    <t xml:space="preserve">생활습관 점수</t>
  </si>
  <si>
    <r>
      <rPr>
        <sz val="10"/>
        <rFont val="Noto Sans CJK SC"/>
        <family val="2"/>
      </rPr>
      <t xml:space="preserve">퀘스트 완료 기록에서 계산되는 일별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활동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식생활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기록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점수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위험도 재계산 입력</t>
    </r>
  </si>
  <si>
    <t xml:space="preserve">daily_lifestyle_scores</t>
  </si>
  <si>
    <t xml:space="preserve">사용자가 직접 입력하지 않음</t>
  </si>
  <si>
    <t xml:space="preserve">캐릭터 상태</t>
  </si>
  <si>
    <r>
      <rPr>
        <sz val="10"/>
        <rFont val="Noto Sans CJK SC"/>
        <family val="2"/>
      </rPr>
      <t xml:space="preserve">당일 퀘스트 완료 수로 정해지는 시들시들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노말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버프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단계</t>
    </r>
  </si>
  <si>
    <t xml:space="preserve">character_state = wilted | normal | buff</t>
  </si>
  <si>
    <t xml:space="preserve">자정에 전날 기준 확정</t>
  </si>
  <si>
    <t xml:space="preserve">건강 기록</t>
  </si>
  <si>
    <t xml:space="preserve">사용자가 입력하거나 기기에서 들어오는 시계열 측정값</t>
  </si>
  <si>
    <t xml:space="preserve">health_records(record_type, value, unit, source)</t>
  </si>
  <si>
    <r>
      <rPr>
        <sz val="10"/>
        <rFont val="Arial"/>
        <family val="0"/>
        <charset val="1"/>
      </rPr>
      <t xml:space="preserve">record_type </t>
    </r>
    <r>
      <rPr>
        <sz val="10"/>
        <rFont val="Noto Sans CJK SC"/>
        <family val="2"/>
      </rPr>
      <t xml:space="preserve">목록은 </t>
    </r>
    <r>
      <rPr>
        <sz val="10"/>
        <rFont val="Arial"/>
        <family val="0"/>
        <charset val="1"/>
      </rPr>
      <t xml:space="preserve">FR-USER-13 </t>
    </r>
    <r>
      <rPr>
        <sz val="10"/>
        <rFont val="Noto Sans CJK SC"/>
        <family val="2"/>
      </rPr>
      <t xml:space="preserve">참조</t>
    </r>
  </si>
  <si>
    <t xml:space="preserve">보유 기기</t>
  </si>
  <si>
    <r>
      <rPr>
        <sz val="10"/>
        <rFont val="Noto Sans CJK SC"/>
        <family val="2"/>
      </rPr>
      <t xml:space="preserve">사용자가 온보딩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마이페이지에서 체크한 가정용 의료기기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워치</t>
    </r>
  </si>
  <si>
    <t xml:space="preserve">user_devices(device_type)</t>
  </si>
  <si>
    <r>
      <rPr>
        <sz val="10"/>
        <rFont val="Noto Sans CJK SC"/>
        <family val="2"/>
      </rPr>
      <t xml:space="preserve">기록형 퀘스트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대시보드 지표 활성화 기준</t>
    </r>
  </si>
  <si>
    <t xml:space="preserve">코인</t>
  </si>
  <si>
    <t xml:space="preserve">퀘스트 보상 인게임 재화</t>
  </si>
  <si>
    <t xml:space="preserve">wallets, point_transactions</t>
  </si>
  <si>
    <t xml:space="preserve">잔액은 거래 기록 집계</t>
  </si>
  <si>
    <t xml:space="preserve">능력치</t>
  </si>
  <si>
    <r>
      <rPr>
        <sz val="10"/>
        <rFont val="Noto Sans CJK SC"/>
        <family val="2"/>
      </rPr>
      <t xml:space="preserve">체력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심장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식생활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휴식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축 누적 수치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감소 없음</t>
    </r>
  </si>
  <si>
    <t xml:space="preserve">character_stats</t>
  </si>
  <si>
    <t xml:space="preserve">치장템</t>
  </si>
  <si>
    <t xml:space="preserve">캐릭터에 씌우는 픽셀 오버레이 아이템</t>
  </si>
  <si>
    <t xml:space="preserve">items, character_items</t>
  </si>
  <si>
    <t xml:space="preserve">ID</t>
  </si>
  <si>
    <t xml:space="preserve">구분</t>
  </si>
  <si>
    <t xml:space="preserve">카테고리</t>
  </si>
  <si>
    <t xml:space="preserve">요구사항명</t>
  </si>
  <si>
    <t xml:space="preserve">상세 설명</t>
  </si>
  <si>
    <t xml:space="preserve">수용 기준</t>
  </si>
  <si>
    <t xml:space="preserve">담당 축</t>
  </si>
  <si>
    <t xml:space="preserve">연결 기능</t>
  </si>
  <si>
    <t xml:space="preserve">FR-AUTH-01</t>
  </si>
  <si>
    <t xml:space="preserve">기능</t>
  </si>
  <si>
    <t xml:space="preserve">인증</t>
  </si>
  <si>
    <t xml:space="preserve">이메일 회원가입</t>
  </si>
  <si>
    <r>
      <rPr>
        <sz val="10"/>
        <rFont val="Noto Sans CJK SC"/>
        <family val="2"/>
      </rPr>
      <t xml:space="preserve">이메일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비밀번호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닉네임으로 가입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비밀번호는 </t>
    </r>
    <r>
      <rPr>
        <sz val="10"/>
        <rFont val="Arial"/>
        <family val="0"/>
        <charset val="1"/>
      </rPr>
      <t xml:space="preserve">bcrypt </t>
    </r>
    <r>
      <rPr>
        <sz val="10"/>
        <rFont val="Noto Sans CJK SC"/>
        <family val="2"/>
      </rPr>
      <t xml:space="preserve">해싱</t>
    </r>
    <r>
      <rPr>
        <sz val="10"/>
        <rFont val="Arial"/>
        <family val="0"/>
        <charset val="1"/>
      </rPr>
      <t xml:space="preserve">.</t>
    </r>
  </si>
  <si>
    <t xml:space="preserve">필수</t>
  </si>
  <si>
    <r>
      <rPr>
        <sz val="10"/>
        <rFont val="Arial"/>
        <family val="0"/>
        <charset val="1"/>
      </rPr>
      <t xml:space="preserve">POST /api/v1/auth/signup → 201. </t>
    </r>
    <r>
      <rPr>
        <sz val="10"/>
        <rFont val="Noto Sans CJK SC"/>
        <family val="2"/>
      </rPr>
      <t xml:space="preserve">중복 이메일 </t>
    </r>
    <r>
      <rPr>
        <sz val="10"/>
        <rFont val="Arial"/>
        <family val="0"/>
        <charset val="1"/>
      </rPr>
      <t xml:space="preserve">409 'CONFLICT'. </t>
    </r>
    <r>
      <rPr>
        <sz val="10"/>
        <rFont val="Noto Sans CJK SC"/>
        <family val="2"/>
      </rPr>
      <t xml:space="preserve">비밀번호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자 미만 </t>
    </r>
    <r>
      <rPr>
        <sz val="10"/>
        <rFont val="Arial"/>
        <family val="0"/>
        <charset val="1"/>
      </rPr>
      <t xml:space="preserve">400 'VALIDATION_ERROR'.</t>
    </r>
  </si>
  <si>
    <t xml:space="preserve">백엔드</t>
  </si>
  <si>
    <t xml:space="preserve">초안</t>
  </si>
  <si>
    <t xml:space="preserve">F7</t>
  </si>
  <si>
    <t xml:space="preserve">FR-AUTH-02</t>
  </si>
  <si>
    <r>
      <rPr>
        <sz val="10"/>
        <rFont val="Noto Sans CJK SC"/>
        <family val="2"/>
      </rPr>
      <t xml:space="preserve">로그인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토큰 발급</t>
    </r>
  </si>
  <si>
    <r>
      <rPr>
        <sz val="10"/>
        <rFont val="Arial"/>
        <family val="0"/>
        <charset val="1"/>
      </rPr>
      <t xml:space="preserve">JWT Access(30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)+Refresh(7</t>
    </r>
    <r>
      <rPr>
        <sz val="10"/>
        <rFont val="Noto Sans CJK SC"/>
        <family val="2"/>
      </rPr>
      <t xml:space="preserve">일 또는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확정 필요</t>
    </r>
    <r>
      <rPr>
        <sz val="10"/>
        <rFont val="Arial"/>
        <family val="0"/>
        <charset val="1"/>
      </rPr>
      <t xml:space="preserve">]) 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</si>
  <si>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로그인 성공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access_token·refresh_token. </t>
    </r>
    <r>
      <rPr>
        <sz val="10"/>
        <rFont val="Noto Sans CJK SC"/>
        <family val="2"/>
      </rPr>
      <t xml:space="preserve">잘못된 자격 </t>
    </r>
    <r>
      <rPr>
        <sz val="10"/>
        <rFont val="Arial"/>
        <family val="0"/>
        <charset val="1"/>
      </rPr>
      <t xml:space="preserve">401 'UNAUTHORIZED'.</t>
    </r>
  </si>
  <si>
    <r>
      <rPr>
        <sz val="10"/>
        <rFont val="Noto Sans CJK SC"/>
        <family val="2"/>
      </rPr>
      <t xml:space="preserve">만료 기간 기획서</t>
    </r>
    <r>
      <rPr>
        <sz val="10"/>
        <rFont val="Arial"/>
        <family val="0"/>
        <charset val="1"/>
      </rPr>
      <t xml:space="preserve">(14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상세서</t>
    </r>
    <r>
      <rPr>
        <sz val="10"/>
        <rFont val="Arial"/>
        <family val="0"/>
        <charset val="1"/>
      </rPr>
      <t xml:space="preserve">(7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불일치 → 팀 확정</t>
    </r>
  </si>
  <si>
    <t xml:space="preserve">FR-AUTH-03</t>
  </si>
  <si>
    <t xml:space="preserve">인가</t>
  </si>
  <si>
    <t xml:space="preserve">본인 데이터 접근 제한</t>
  </si>
  <si>
    <r>
      <rPr>
        <sz val="10"/>
        <rFont val="Noto Sans CJK SC"/>
        <family val="2"/>
      </rPr>
      <t xml:space="preserve">모든 사용자 데이터 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는 로그인 필수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타인 리소스 접근 시 </t>
    </r>
    <r>
      <rPr>
        <sz val="10"/>
        <rFont val="Arial"/>
        <family val="0"/>
        <charset val="1"/>
      </rPr>
      <t xml:space="preserve">403.</t>
    </r>
  </si>
  <si>
    <r>
      <rPr>
        <sz val="10"/>
        <rFont val="Noto Sans CJK SC"/>
        <family val="2"/>
      </rPr>
      <t xml:space="preserve">타인 </t>
    </r>
    <r>
      <rPr>
        <sz val="10"/>
        <rFont val="Arial"/>
        <family val="0"/>
        <charset val="1"/>
      </rPr>
      <t xml:space="preserve">user_id </t>
    </r>
    <r>
      <rPr>
        <sz val="10"/>
        <rFont val="Noto Sans CJK SC"/>
        <family val="2"/>
      </rPr>
      <t xml:space="preserve">리소스 요청 → </t>
    </r>
    <r>
      <rPr>
        <sz val="10"/>
        <rFont val="Arial"/>
        <family val="0"/>
        <charset val="1"/>
      </rPr>
      <t xml:space="preserve">403 'FORBIDDEN'. </t>
    </r>
    <r>
      <rPr>
        <sz val="10"/>
        <rFont val="Noto Sans CJK SC"/>
        <family val="2"/>
      </rPr>
      <t xml:space="preserve">공개 엔드포인트는 </t>
    </r>
    <r>
      <rPr>
        <sz val="10"/>
        <rFont val="Arial"/>
        <family val="0"/>
        <charset val="1"/>
      </rPr>
      <t xml:space="preserve">/auth/*, /health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.</t>
    </r>
  </si>
  <si>
    <t xml:space="preserve">FR-AUTH-04</t>
  </si>
  <si>
    <t xml:space="preserve">동의</t>
  </si>
  <si>
    <t xml:space="preserve">민감정보 수집 동의</t>
  </si>
  <si>
    <r>
      <rPr>
        <sz val="10"/>
        <rFont val="Noto Sans CJK SC"/>
        <family val="2"/>
      </rPr>
      <t xml:space="preserve">온보딩 첫 화면에서 건강정보 수집 목적</t>
    </r>
    <r>
      <rPr>
        <sz val="10"/>
        <rFont val="Arial"/>
        <family val="0"/>
        <charset val="1"/>
      </rPr>
      <t xml:space="preserve">·'</t>
    </r>
    <r>
      <rPr>
        <sz val="10"/>
        <rFont val="Noto Sans CJK SC"/>
        <family val="2"/>
      </rPr>
      <t xml:space="preserve">진단이 아니며 의료 조언이 아님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고지 후 동의를 받는다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</si>
  <si>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동의 없이는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진행 불가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동의 시각을 </t>
    </r>
    <r>
      <rPr>
        <sz val="10"/>
        <rFont val="Arial"/>
        <family val="0"/>
        <charset val="1"/>
      </rPr>
      <t xml:space="preserve">users.consented_at</t>
    </r>
    <r>
      <rPr>
        <sz val="10"/>
        <rFont val="Noto Sans CJK SC"/>
        <family val="2"/>
      </rPr>
      <t xml:space="preserve">에 저장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</si>
  <si>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프론트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백엔드</t>
    </r>
  </si>
  <si>
    <r>
      <rPr>
        <sz val="10"/>
        <rFont val="Noto Sans CJK SC"/>
        <family val="2"/>
      </rPr>
      <t xml:space="preserve">리스크 </t>
    </r>
    <r>
      <rPr>
        <sz val="10"/>
        <rFont val="Arial"/>
        <family val="0"/>
        <charset val="1"/>
      </rPr>
      <t xml:space="preserve">R7</t>
    </r>
  </si>
  <si>
    <t xml:space="preserve">FR-USER-01</t>
  </si>
  <si>
    <t xml:space="preserve">온보딩</t>
  </si>
  <si>
    <t xml:space="preserve">온보딩 단계 구성</t>
  </si>
  <si>
    <r>
      <rPr>
        <sz val="10"/>
        <rFont val="Noto Sans CJK SC"/>
        <family val="2"/>
      </rPr>
      <t xml:space="preserve">온보딩은 ①계정 ②신체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생활습관 ③질환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가족력 ④보유 기기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워치 ⑤공룡 선택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화면으로 구성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필수 항목 외에는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건너뛰기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건너뛴 항목은 마이페이지에서 입력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</si>
  <si>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신규 사용자가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화면 이내로 홈에 도달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각 화면 상단에 진행률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건너뛴 필수 외 항목은 </t>
    </r>
    <r>
      <rPr>
        <sz val="10"/>
        <rFont val="Arial"/>
        <family val="0"/>
        <charset val="1"/>
      </rPr>
      <t xml:space="preserve">profile_completeness</t>
    </r>
    <r>
      <rPr>
        <sz val="10"/>
        <rFont val="Noto Sans CJK SC"/>
        <family val="2"/>
      </rPr>
      <t xml:space="preserve">에 반영</t>
    </r>
    <r>
      <rPr>
        <sz val="10"/>
        <rFont val="Arial"/>
        <family val="0"/>
        <charset val="1"/>
      </rPr>
      <t xml:space="preserve">.</t>
    </r>
  </si>
  <si>
    <t xml:space="preserve">프론트</t>
  </si>
  <si>
    <r>
      <rPr>
        <sz val="10"/>
        <rFont val="Noto Sans CJK SC"/>
        <family val="2"/>
      </rPr>
      <t xml:space="preserve">기획서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온보딩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' → 5</t>
    </r>
    <r>
      <rPr>
        <sz val="10"/>
        <rFont val="Noto Sans CJK SC"/>
        <family val="2"/>
      </rPr>
      <t xml:space="preserve">단계로 수정 필요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와이어프레임 동기화</t>
    </r>
  </si>
  <si>
    <t xml:space="preserve">FR-USER-02</t>
  </si>
  <si>
    <t xml:space="preserve">기본 정보</t>
  </si>
  <si>
    <t xml:space="preserve">기본 신체 정보 입력</t>
  </si>
  <si>
    <r>
      <rPr>
        <sz val="10"/>
        <rFont val="Noto Sans CJK SC"/>
        <family val="2"/>
      </rPr>
      <t xml:space="preserve">생년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나이 계산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성별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키</t>
    </r>
    <r>
      <rPr>
        <sz val="10"/>
        <rFont val="Arial"/>
        <family val="0"/>
        <charset val="1"/>
      </rPr>
      <t xml:space="preserve">(cm), </t>
    </r>
    <r>
      <rPr>
        <sz val="10"/>
        <rFont val="Noto Sans CJK SC"/>
        <family val="2"/>
      </rPr>
      <t xml:space="preserve">몸무게</t>
    </r>
    <r>
      <rPr>
        <sz val="10"/>
        <rFont val="Arial"/>
        <family val="0"/>
        <charset val="1"/>
      </rPr>
      <t xml:space="preserve">(kg)</t>
    </r>
    <r>
      <rPr>
        <sz val="10"/>
        <rFont val="Noto Sans CJK SC"/>
        <family val="2"/>
      </rPr>
      <t xml:space="preserve">를 필수로 입력</t>
    </r>
    <r>
      <rPr>
        <sz val="10"/>
        <rFont val="Arial"/>
        <family val="0"/>
        <charset val="1"/>
      </rPr>
      <t xml:space="preserve">. BMI</t>
    </r>
    <r>
      <rPr>
        <sz val="10"/>
        <rFont val="Noto Sans CJK SC"/>
        <family val="2"/>
      </rPr>
      <t xml:space="preserve">는 서버에서 계산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</si>
  <si>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중 하나라도 없으면 </t>
    </r>
    <r>
      <rPr>
        <sz val="10"/>
        <rFont val="Arial"/>
        <family val="0"/>
        <charset val="1"/>
      </rPr>
      <t xml:space="preserve">400 '</t>
    </r>
    <r>
      <rPr>
        <sz val="10"/>
        <rFont val="Noto Sans CJK SC"/>
        <family val="2"/>
      </rPr>
      <t xml:space="preserve">필수값 누락</t>
    </r>
    <r>
      <rPr>
        <sz val="10"/>
        <rFont val="Arial"/>
        <family val="0"/>
        <charset val="1"/>
      </rPr>
      <t xml:space="preserve">(400): height'. </t>
    </r>
    <r>
      <rPr>
        <sz val="10"/>
        <rFont val="Noto Sans CJK SC"/>
        <family val="2"/>
      </rPr>
      <t xml:space="preserve">키 </t>
    </r>
    <r>
      <rPr>
        <sz val="10"/>
        <rFont val="Arial"/>
        <family val="0"/>
        <charset val="1"/>
      </rPr>
      <t xml:space="preserve">100~250, </t>
    </r>
    <r>
      <rPr>
        <sz val="10"/>
        <rFont val="Noto Sans CJK SC"/>
        <family val="2"/>
      </rPr>
      <t xml:space="preserve">몸무게 </t>
    </r>
    <r>
      <rPr>
        <sz val="10"/>
        <rFont val="Arial"/>
        <family val="0"/>
        <charset val="1"/>
      </rPr>
      <t xml:space="preserve">20~300 </t>
    </r>
    <r>
      <rPr>
        <sz val="10"/>
        <rFont val="Noto Sans CJK SC"/>
        <family val="2"/>
      </rPr>
      <t xml:space="preserve">범위 밖 </t>
    </r>
    <r>
      <rPr>
        <sz val="10"/>
        <rFont val="Arial"/>
        <family val="0"/>
        <charset val="1"/>
      </rPr>
      <t xml:space="preserve">400. BMI = kg/m² </t>
    </r>
    <r>
      <rPr>
        <sz val="10"/>
        <rFont val="Noto Sans CJK SC"/>
        <family val="2"/>
      </rPr>
      <t xml:space="preserve">소수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자리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</si>
  <si>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백엔드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프론트</t>
    </r>
  </si>
  <si>
    <t xml:space="preserve">F1, F7</t>
  </si>
  <si>
    <t xml:space="preserve">FR-USER-03</t>
  </si>
  <si>
    <r>
      <rPr>
        <sz val="10"/>
        <rFont val="Noto Sans CJK SC"/>
        <family val="2"/>
      </rPr>
      <t xml:space="preserve">허리둘레 입력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</si>
  <si>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줄자 보유 시 허리둘레</t>
    </r>
    <r>
      <rPr>
        <sz val="10"/>
        <rFont val="Arial"/>
        <family val="0"/>
        <charset val="1"/>
      </rPr>
      <t xml:space="preserve">(cm)</t>
    </r>
    <r>
      <rPr>
        <sz val="10"/>
        <rFont val="Noto Sans CJK SC"/>
        <family val="2"/>
      </rPr>
      <t xml:space="preserve">를 입력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대사증후군 기준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모델 피처로 사용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</si>
  <si>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선택 입력</t>
    </r>
    <r>
      <rPr>
        <sz val="10"/>
        <rFont val="Arial"/>
        <family val="0"/>
        <charset val="1"/>
      </rPr>
      <t xml:space="preserve">. 40~200 </t>
    </r>
    <r>
      <rPr>
        <sz val="10"/>
        <rFont val="Noto Sans CJK SC"/>
        <family val="2"/>
      </rPr>
      <t xml:space="preserve">범위 밖 </t>
    </r>
    <r>
      <rPr>
        <sz val="10"/>
        <rFont val="Arial"/>
        <family val="0"/>
        <charset val="1"/>
      </rPr>
      <t xml:space="preserve">400. </t>
    </r>
    <r>
      <rPr>
        <sz val="10"/>
        <rFont val="Noto Sans CJK SC"/>
        <family val="2"/>
      </rPr>
      <t xml:space="preserve">미입력 시 모델은 결측 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학습 시 동일 규칙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</si>
  <si>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AI / </t>
    </r>
    <r>
      <rPr>
        <sz val="10"/>
        <rFont val="Noto Sans CJK SC"/>
        <family val="2"/>
      </rPr>
      <t xml:space="preserve">백엔드</t>
    </r>
  </si>
  <si>
    <t xml:space="preserve">F1, F2</t>
  </si>
  <si>
    <t xml:space="preserve">FR-USER-04</t>
  </si>
  <si>
    <r>
      <rPr>
        <sz val="10"/>
        <rFont val="Noto Sans CJK SC"/>
        <family val="2"/>
      </rPr>
      <t xml:space="preserve">질환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이력</t>
    </r>
  </si>
  <si>
    <t xml:space="preserve">진단 질환 선택</t>
  </si>
  <si>
    <r>
      <rPr>
        <sz val="10"/>
        <rFont val="Noto Sans CJK SC"/>
        <family val="2"/>
      </rPr>
      <t xml:space="preserve">진단받은 질환을 다중 선택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고혈압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당뇨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이상지질혈증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만성콩팥병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지방간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값으로 예방 모드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관리 모드를 분기한다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</si>
  <si>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다른 항목 동시 선택 불가</t>
    </r>
    <r>
      <rPr>
        <sz val="10"/>
        <rFont val="Arial"/>
        <family val="0"/>
        <charset val="1"/>
      </rPr>
      <t xml:space="preserve">(400). </t>
    </r>
    <r>
      <rPr>
        <sz val="10"/>
        <rFont val="Noto Sans CJK SC"/>
        <family val="2"/>
      </rPr>
      <t xml:space="preserve">고혈압 또는 당뇨 선택 시 </t>
    </r>
    <r>
      <rPr>
        <sz val="10"/>
        <rFont val="Arial"/>
        <family val="0"/>
        <charset val="1"/>
      </rPr>
      <t xml:space="preserve">user_mode = management, </t>
    </r>
    <r>
      <rPr>
        <sz val="10"/>
        <rFont val="Noto Sans CJK SC"/>
        <family val="2"/>
      </rPr>
      <t xml:space="preserve">그 외 </t>
    </r>
    <r>
      <rPr>
        <sz val="10"/>
        <rFont val="Arial"/>
        <family val="0"/>
        <charset val="1"/>
      </rPr>
      <t xml:space="preserve">prevention. </t>
    </r>
    <r>
      <rPr>
        <sz val="10"/>
        <rFont val="Noto Sans CJK SC"/>
        <family val="2"/>
      </rPr>
      <t xml:space="preserve">값은 소문자 문자열 </t>
    </r>
    <r>
      <rPr>
        <sz val="10"/>
        <rFont val="Arial"/>
        <family val="0"/>
        <charset val="1"/>
      </rPr>
      <t xml:space="preserve">enum(hypertension, diabetes, dyslipidemia, ckd, fatty_liver).</t>
    </r>
  </si>
  <si>
    <r>
      <rPr>
        <sz val="10"/>
        <rFont val="Noto Sans CJK SC"/>
        <family val="2"/>
      </rPr>
      <t xml:space="preserve">백엔드 </t>
    </r>
    <r>
      <rPr>
        <sz val="10"/>
        <rFont val="Arial"/>
        <family val="0"/>
        <charset val="1"/>
      </rPr>
      <t xml:space="preserve">/ AI</t>
    </r>
  </si>
  <si>
    <t xml:space="preserve">F1, F4</t>
  </si>
  <si>
    <r>
      <rPr>
        <sz val="10"/>
        <rFont val="Noto Sans CJK SC"/>
        <family val="2"/>
      </rPr>
      <t xml:space="preserve">관리 모드는 위험도 대신 목표 범위 유지율 표시</t>
    </r>
    <r>
      <rPr>
        <sz val="10"/>
        <rFont val="Arial"/>
        <family val="0"/>
        <charset val="1"/>
      </rPr>
      <t xml:space="preserve">(FR-DASH-05)</t>
    </r>
  </si>
  <si>
    <t xml:space="preserve">FR-USER-05</t>
  </si>
  <si>
    <t xml:space="preserve">전단계 판정 여부</t>
  </si>
  <si>
    <r>
      <rPr>
        <sz val="10"/>
        <rFont val="Noto Sans CJK SC"/>
        <family val="2"/>
      </rPr>
      <t xml:space="preserve">건강검진에서 고혈압 전단계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공복혈당장애 등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판정을 받았는지 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아니오로 입력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</si>
  <si>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선택 입력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 선택 시 홈 카드 문구를 전단계용으로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모델 피처에는 사용하지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</si>
  <si>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 타겟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전단계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식별용</t>
    </r>
  </si>
  <si>
    <t xml:space="preserve">FR-USER-06</t>
  </si>
  <si>
    <t xml:space="preserve">복용약 여부</t>
  </si>
  <si>
    <r>
      <rPr>
        <sz val="10"/>
        <rFont val="Noto Sans CJK SC"/>
        <family val="2"/>
      </rPr>
      <t xml:space="preserve">혈압약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당뇨약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지질약 복용 여부 체크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기록만 하고 복약 지도는 하지 않는다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</si>
  <si>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체크박스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저장만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알림 어디에도 복약 권고 문구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로그에 남기지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</si>
  <si>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의료 행위 범위 제외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모델 해석 시 약 복용자 구분용</t>
    </r>
  </si>
  <si>
    <t xml:space="preserve">FR-USER-07</t>
  </si>
  <si>
    <t xml:space="preserve">가족력 입력</t>
  </si>
  <si>
    <r>
      <rPr>
        <sz val="10"/>
        <rFont val="Noto Sans CJK SC"/>
        <family val="2"/>
      </rPr>
      <t xml:space="preserve">고혈압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당뇨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심장질환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신장질환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없음 다중 선택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모델 피처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</si>
  <si>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동시 선택 불가</t>
    </r>
    <r>
      <rPr>
        <sz val="10"/>
        <rFont val="Arial"/>
        <family val="0"/>
        <charset val="1"/>
      </rPr>
      <t xml:space="preserve">(400). family_history </t>
    </r>
    <r>
      <rPr>
        <sz val="10"/>
        <rFont val="Noto Sans CJK SC"/>
        <family val="2"/>
      </rPr>
      <t xml:space="preserve">배열로 저장</t>
    </r>
    <r>
      <rPr>
        <sz val="10"/>
        <rFont val="Arial"/>
        <family val="0"/>
        <charset val="1"/>
      </rPr>
      <t xml:space="preserve">.</t>
    </r>
  </si>
  <si>
    <t xml:space="preserve">F1</t>
  </si>
  <si>
    <t xml:space="preserve">FR-USER-08</t>
  </si>
  <si>
    <t xml:space="preserve">생활습관</t>
  </si>
  <si>
    <t xml:space="preserve">생활습관 기초 설문</t>
  </si>
  <si>
    <r>
      <rPr>
        <sz val="10"/>
        <rFont val="Noto Sans CJK SC"/>
        <family val="2"/>
      </rPr>
      <t xml:space="preserve">흡연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비흡연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과거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현재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음주 빈도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운동 빈도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, 30</t>
    </r>
    <r>
      <rPr>
        <sz val="10"/>
        <rFont val="Noto Sans CJK SC"/>
        <family val="2"/>
      </rPr>
      <t xml:space="preserve">분 이상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평균 수면시간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필수로 입력</t>
    </r>
    <r>
      <rPr>
        <sz val="10"/>
        <rFont val="Arial"/>
        <family val="0"/>
        <charset val="1"/>
      </rPr>
      <t xml:space="preserve">. KNHANES </t>
    </r>
    <r>
      <rPr>
        <sz val="10"/>
        <rFont val="Noto Sans CJK SC"/>
        <family val="2"/>
      </rPr>
      <t xml:space="preserve">항목과 </t>
    </r>
    <r>
      <rPr>
        <sz val="10"/>
        <rFont val="Arial"/>
        <family val="0"/>
        <charset val="1"/>
      </rPr>
      <t xml:space="preserve">1:1</t>
    </r>
    <r>
      <rPr>
        <sz val="10"/>
        <rFont val="Noto Sans CJK SC"/>
        <family val="2"/>
      </rPr>
      <t xml:space="preserve">로 맞춘다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</si>
  <si>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필수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선택지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단위가 학습 데이터셋 코딩과 동일해야 함</t>
    </r>
    <r>
      <rPr>
        <sz val="10"/>
        <rFont val="Arial"/>
        <family val="0"/>
        <charset val="1"/>
      </rPr>
      <t xml:space="preserve">(docs/datasets.md</t>
    </r>
    <r>
      <rPr>
        <sz val="10"/>
        <rFont val="Noto Sans CJK SC"/>
        <family val="2"/>
      </rPr>
      <t xml:space="preserve">의 매핑표 기준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최초 생활습관 점수의 초기값으로 사용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</si>
  <si>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AI / </t>
    </r>
    <r>
      <rPr>
        <sz val="10"/>
        <rFont val="Noto Sans CJK SC"/>
        <family val="2"/>
      </rPr>
      <t xml:space="preserve">프론트</t>
    </r>
  </si>
  <si>
    <t xml:space="preserve">F1, F3</t>
  </si>
  <si>
    <r>
      <rPr>
        <sz val="10"/>
        <rFont val="Noto Sans CJK SC"/>
        <family val="2"/>
      </rPr>
      <t xml:space="preserve">모델 피처 정합성은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축이 검수</t>
    </r>
  </si>
  <si>
    <t xml:space="preserve">FR-USER-09</t>
  </si>
  <si>
    <t xml:space="preserve">측정값</t>
  </si>
  <si>
    <r>
      <rPr>
        <sz val="10"/>
        <rFont val="Noto Sans CJK SC"/>
        <family val="2"/>
      </rPr>
      <t xml:space="preserve">최근 측정값 입력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</si>
  <si>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수축기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이완기 혈압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공복혈당을 온보딩에서 선택 입력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현재 상태 밴드와 대시보드 시작값으로만 쓰고 예측 모델 입력에서는 제외한다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 누수 방지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</si>
  <si>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선택 입력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혈압 </t>
    </r>
    <r>
      <rPr>
        <sz val="10"/>
        <rFont val="Arial"/>
        <family val="0"/>
        <charset val="1"/>
      </rPr>
      <t xml:space="preserve">50~250, </t>
    </r>
    <r>
      <rPr>
        <sz val="10"/>
        <rFont val="Noto Sans CJK SC"/>
        <family val="2"/>
      </rPr>
      <t xml:space="preserve">혈당 </t>
    </r>
    <r>
      <rPr>
        <sz val="10"/>
        <rFont val="Arial"/>
        <family val="0"/>
        <charset val="1"/>
      </rPr>
      <t xml:space="preserve">30~600 </t>
    </r>
    <r>
      <rPr>
        <sz val="10"/>
        <rFont val="Noto Sans CJK SC"/>
        <family val="2"/>
      </rPr>
      <t xml:space="preserve">범위 밖 </t>
    </r>
    <r>
      <rPr>
        <sz val="10"/>
        <rFont val="Arial"/>
        <family val="0"/>
        <charset val="1"/>
      </rPr>
      <t xml:space="preserve">400. </t>
    </r>
    <r>
      <rPr>
        <sz val="10"/>
        <rFont val="Noto Sans CJK SC"/>
        <family val="2"/>
      </rPr>
      <t xml:space="preserve">입력 시 </t>
    </r>
    <r>
      <rPr>
        <sz val="10"/>
        <rFont val="Arial"/>
        <family val="0"/>
        <charset val="1"/>
      </rPr>
      <t xml:space="preserve">health_records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source=manual</t>
    </r>
    <r>
      <rPr>
        <sz val="10"/>
        <rFont val="Noto Sans CJK SC"/>
        <family val="2"/>
      </rPr>
      <t xml:space="preserve">로 저장되고 상태 밴드 즉시 계산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모델 피처 목록에 없음을 </t>
    </r>
    <r>
      <rPr>
        <sz val="10"/>
        <rFont val="Arial"/>
        <family val="0"/>
        <charset val="1"/>
      </rPr>
      <t xml:space="preserve">docs/experiments.md</t>
    </r>
    <r>
      <rPr>
        <sz val="10"/>
        <rFont val="Noto Sans CJK SC"/>
        <family val="2"/>
      </rPr>
      <t xml:space="preserve">에 명시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</si>
  <si>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평가 </t>
    </r>
    <r>
      <rPr>
        <sz val="10"/>
        <rFont val="Arial"/>
        <family val="0"/>
        <charset val="1"/>
      </rPr>
      <t xml:space="preserve">3-1 </t>
    </r>
    <r>
      <rPr>
        <sz val="10"/>
        <rFont val="Noto Sans CJK SC"/>
        <family val="2"/>
      </rPr>
      <t xml:space="preserve">대응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왜 혈압을 받는데 위험도에 안 쓰는지 문서화</t>
    </r>
  </si>
  <si>
    <t xml:space="preserve">FR-USER-10</t>
  </si>
  <si>
    <r>
      <rPr>
        <sz val="10"/>
        <rFont val="Noto Sans CJK SC"/>
        <family val="2"/>
      </rPr>
      <t xml:space="preserve">최근 검진 결과 입력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</si>
  <si>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LDL·HDL·</t>
    </r>
    <r>
      <rPr>
        <sz val="10"/>
        <rFont val="Noto Sans CJK SC"/>
        <family val="2"/>
      </rPr>
      <t xml:space="preserve">중성지방</t>
    </r>
    <r>
      <rPr>
        <sz val="10"/>
        <rFont val="Arial"/>
        <family val="0"/>
        <charset val="1"/>
      </rPr>
      <t xml:space="preserve">·HbA1c·</t>
    </r>
    <r>
      <rPr>
        <sz val="10"/>
        <rFont val="Noto Sans CJK SC"/>
        <family val="2"/>
      </rPr>
      <t xml:space="preserve">크레아티닌</t>
    </r>
    <r>
      <rPr>
        <sz val="10"/>
        <rFont val="Arial"/>
        <family val="0"/>
        <charset val="1"/>
      </rPr>
      <t xml:space="preserve">(eGFR </t>
    </r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선택 입력</t>
    </r>
    <r>
      <rPr>
        <sz val="10"/>
        <rFont val="Arial"/>
        <family val="0"/>
        <charset val="1"/>
      </rPr>
      <t xml:space="preserve">. C</t>
    </r>
    <r>
      <rPr>
        <sz val="10"/>
        <rFont val="Noto Sans CJK SC"/>
        <family val="2"/>
      </rPr>
      <t xml:space="preserve">등급 질환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이상지질혈증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추이의 시작점</t>
    </r>
    <r>
      <rPr>
        <sz val="10"/>
        <rFont val="Arial"/>
        <family val="0"/>
        <charset val="1"/>
      </rPr>
      <t xml:space="preserve">.</t>
    </r>
  </si>
  <si>
    <t xml:space="preserve">선택</t>
  </si>
  <si>
    <r>
      <rPr>
        <sz val="10"/>
        <rFont val="Noto Sans CJK SC"/>
        <family val="2"/>
      </rPr>
      <t xml:space="preserve">각 항목 독립 선택 입력</t>
    </r>
    <r>
      <rPr>
        <sz val="10"/>
        <rFont val="Arial"/>
        <family val="0"/>
        <charset val="1"/>
      </rPr>
      <t xml:space="preserve">, record_type=lab_result</t>
    </r>
    <r>
      <rPr>
        <sz val="10"/>
        <rFont val="Noto Sans CJK SC"/>
        <family val="2"/>
      </rPr>
      <t xml:space="preserve">로 저장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검진일 필수</t>
    </r>
    <r>
      <rPr>
        <sz val="10"/>
        <rFont val="Arial"/>
        <family val="0"/>
        <charset val="1"/>
      </rPr>
      <t xml:space="preserve">. 3~6</t>
    </r>
    <r>
      <rPr>
        <sz val="10"/>
        <rFont val="Noto Sans CJK SC"/>
        <family val="2"/>
      </rPr>
      <t xml:space="preserve">개월 단위 갱신 안내</t>
    </r>
    <r>
      <rPr>
        <sz val="10"/>
        <rFont val="Arial"/>
        <family val="0"/>
        <charset val="1"/>
      </rPr>
      <t xml:space="preserve">.</t>
    </r>
  </si>
  <si>
    <t xml:space="preserve">F2</t>
  </si>
  <si>
    <r>
      <rPr>
        <sz val="10"/>
        <rFont val="Arial"/>
        <family val="0"/>
        <charset val="1"/>
      </rPr>
      <t xml:space="preserve">sprint 5 </t>
    </r>
    <r>
      <rPr>
        <sz val="10"/>
        <rFont val="Noto Sans CJK SC"/>
        <family val="2"/>
      </rPr>
      <t xml:space="preserve">여유 시</t>
    </r>
  </si>
  <si>
    <t xml:space="preserve">FR-USER-11</t>
  </si>
  <si>
    <t xml:space="preserve">보유 의료기기 체크</t>
  </si>
  <si>
    <r>
      <rPr>
        <sz val="10"/>
        <rFont val="Noto Sans CJK SC"/>
        <family val="2"/>
      </rPr>
      <t xml:space="preserve">혈압계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혈당계 </t>
    </r>
    <r>
      <rPr>
        <sz val="10"/>
        <rFont val="Arial"/>
        <family val="0"/>
        <charset val="1"/>
      </rPr>
      <t xml:space="preserve">/ CGM / </t>
    </r>
    <r>
      <rPr>
        <sz val="10"/>
        <rFont val="Noto Sans CJK SC"/>
        <family val="2"/>
      </rPr>
      <t xml:space="preserve">체중계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스마트 여부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줄자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소변 스틱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펄스옥시미터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없음 다중 선택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기록형 퀘스트와 대시보드 지표를 켜고 끄는 기준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</si>
  <si>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user_devices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device_type </t>
    </r>
    <r>
      <rPr>
        <sz val="10"/>
        <rFont val="Noto Sans CJK SC"/>
        <family val="2"/>
      </rPr>
      <t xml:space="preserve">저장</t>
    </r>
    <r>
      <rPr>
        <sz val="10"/>
        <rFont val="Arial"/>
        <family val="0"/>
        <charset val="1"/>
      </rPr>
      <t xml:space="preserve">(bp_monitor, glucometer, cgm, scale, smart_scale, tape, urine_strip, pulse_oximeter). </t>
    </r>
    <r>
      <rPr>
        <sz val="10"/>
        <rFont val="Noto Sans CJK SC"/>
        <family val="2"/>
      </rPr>
      <t xml:space="preserve">마이페이지에서 언제든 변경 가능</t>
    </r>
    <r>
      <rPr>
        <sz val="10"/>
        <rFont val="Arial"/>
        <family val="0"/>
        <charset val="1"/>
      </rPr>
      <t xml:space="preserve">(PUT /api/v1/users/me/devices). </t>
    </r>
    <r>
      <rPr>
        <sz val="10"/>
        <rFont val="Noto Sans CJK SC"/>
        <family val="2"/>
      </rPr>
      <t xml:space="preserve">변경 즉시 다음 날 퀘스트 생성에 반영</t>
    </r>
    <r>
      <rPr>
        <sz val="10"/>
        <rFont val="Arial"/>
        <family val="0"/>
        <charset val="1"/>
      </rPr>
      <t xml:space="preserve">.</t>
    </r>
  </si>
  <si>
    <t xml:space="preserve">F3, F2</t>
  </si>
  <si>
    <r>
      <rPr>
        <sz val="10"/>
        <rFont val="Arial"/>
        <family val="0"/>
        <charset val="1"/>
      </rPr>
      <t xml:space="preserve">FR-CHAL-04</t>
    </r>
    <r>
      <rPr>
        <sz val="10"/>
        <rFont val="Noto Sans CJK SC"/>
        <family val="2"/>
      </rPr>
      <t xml:space="preserve">와 연결</t>
    </r>
  </si>
  <si>
    <t xml:space="preserve">FR-USER-12</t>
  </si>
  <si>
    <r>
      <rPr>
        <sz val="10"/>
        <rFont val="Noto Sans CJK SC"/>
        <family val="2"/>
      </rPr>
      <t xml:space="preserve">워치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밴드 및 폰 걸음 수 체크</t>
    </r>
  </si>
  <si>
    <r>
      <rPr>
        <sz val="10"/>
        <rFont val="Noto Sans CJK SC"/>
        <family val="2"/>
      </rPr>
      <t xml:space="preserve">갤럭시워치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애플워치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기타 밴드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없음 단일 선택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폰 걸음 수 사용 여부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걷기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 퀘스트의 검증 방식을 결정한다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</si>
  <si>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wearable_type </t>
    </r>
    <r>
      <rPr>
        <sz val="10"/>
        <rFont val="Noto Sans CJK SC"/>
        <family val="2"/>
      </rPr>
      <t xml:space="preserve">저장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워치 또는 폰 걸음 사용 시 걷기 퀘스트는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걸음 수 입력형</t>
    </r>
    <r>
      <rPr>
        <sz val="10"/>
        <rFont val="Arial"/>
        <family val="0"/>
        <charset val="1"/>
      </rPr>
      <t xml:space="preserve">', </t>
    </r>
    <r>
      <rPr>
        <sz val="10"/>
        <rFont val="Noto Sans CJK SC"/>
        <family val="2"/>
      </rPr>
      <t xml:space="preserve">없으면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체크형</t>
    </r>
    <r>
      <rPr>
        <sz val="10"/>
        <rFont val="Arial"/>
        <family val="0"/>
        <charset val="1"/>
      </rPr>
      <t xml:space="preserve">'. PWA</t>
    </r>
    <r>
      <rPr>
        <sz val="10"/>
        <rFont val="Noto Sans CJK SC"/>
        <family val="2"/>
      </rPr>
      <t xml:space="preserve">에서는 자동 수집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수동 입력</t>
    </r>
    <r>
      <rPr>
        <sz val="10"/>
        <rFont val="Arial"/>
        <family val="0"/>
        <charset val="1"/>
      </rPr>
      <t xml:space="preserve">).</t>
    </r>
  </si>
  <si>
    <t xml:space="preserve">F3</t>
  </si>
  <si>
    <r>
      <rPr>
        <sz val="10"/>
        <rFont val="Noto Sans CJK SC"/>
        <family val="2"/>
      </rPr>
      <t xml:space="preserve">기기 연동</t>
    </r>
    <r>
      <rPr>
        <sz val="10"/>
        <rFont val="Arial"/>
        <family val="0"/>
        <charset val="1"/>
      </rPr>
      <t xml:space="preserve">(Health Connect)</t>
    </r>
    <r>
      <rPr>
        <sz val="10"/>
        <rFont val="Noto Sans CJK SC"/>
        <family val="2"/>
      </rPr>
      <t xml:space="preserve">은 확장 로드맵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기획서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</si>
  <si>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t xml:space="preserve">FR-USER-13</t>
  </si>
  <si>
    <r>
      <rPr>
        <sz val="10"/>
        <rFont val="Noto Sans CJK SC"/>
        <family val="2"/>
      </rPr>
      <t xml:space="preserve">건강 기록 입력 </t>
    </r>
    <r>
      <rPr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</si>
  <si>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record_type</t>
    </r>
    <r>
      <rPr>
        <sz val="10"/>
        <rFont val="Noto Sans CJK SC"/>
        <family val="2"/>
      </rPr>
      <t xml:space="preserve">별 측정값을 시계열로 저장</t>
    </r>
    <r>
      <rPr>
        <sz val="10"/>
        <rFont val="Arial"/>
        <family val="0"/>
        <charset val="1"/>
      </rPr>
      <t xml:space="preserve">. record_type = blood_pressure, fasting_glucose, postprandial_glucose, glucose_cgm, weight, body_fat, waist, urine_protein, urine_glucose, spo2, resting_hr, steps, sleep, lab_result. source = manual | health_connect(</t>
    </r>
    <r>
      <rPr>
        <sz val="10"/>
        <rFont val="Noto Sans CJK SC"/>
        <family val="2"/>
      </rPr>
      <t xml:space="preserve">향후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</si>
  <si>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POST /api/v1/health-records → 201. record_type enum </t>
    </r>
    <r>
      <rPr>
        <sz val="10"/>
        <rFont val="Noto Sans CJK SC"/>
        <family val="2"/>
      </rPr>
      <t xml:space="preserve">외 값 </t>
    </r>
    <r>
      <rPr>
        <sz val="10"/>
        <rFont val="Arial"/>
        <family val="0"/>
        <charset val="1"/>
      </rPr>
      <t xml:space="preserve">400. </t>
    </r>
    <r>
      <rPr>
        <sz val="10"/>
        <rFont val="Noto Sans CJK SC"/>
        <family val="2"/>
      </rPr>
      <t xml:space="preserve">단위 컬럼 필수</t>
    </r>
    <r>
      <rPr>
        <sz val="10"/>
        <rFont val="Arial"/>
        <family val="0"/>
        <charset val="1"/>
      </rPr>
      <t xml:space="preserve">(mmHg, mg/dL, kg, %, cm, grade, bpm, steps, hours). </t>
    </r>
    <r>
      <rPr>
        <sz val="10"/>
        <rFont val="Noto Sans CJK SC"/>
        <family val="2"/>
      </rPr>
      <t xml:space="preserve">사용자 프로필 테이블과 분리된 시계열 테이블</t>
    </r>
    <r>
      <rPr>
        <sz val="10"/>
        <rFont val="Arial"/>
        <family val="0"/>
        <charset val="1"/>
      </rPr>
      <t xml:space="preserve">.</t>
    </r>
  </si>
  <si>
    <t xml:space="preserve">F2, F3</t>
  </si>
  <si>
    <t xml:space="preserve">ERD: health_records(record_type, value, value2, unit, source, measured_at)</t>
  </si>
  <si>
    <t xml:space="preserve">FR-USER-14</t>
  </si>
  <si>
    <t xml:space="preserve">소변 스틱 등급 입력</t>
  </si>
  <si>
    <r>
      <rPr>
        <sz val="10"/>
        <rFont val="Noto Sans CJK SC"/>
        <family val="2"/>
      </rPr>
      <t xml:space="preserve">소변 스틱 단백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 결과를 음성 </t>
    </r>
    <r>
      <rPr>
        <sz val="10"/>
        <rFont val="Arial"/>
        <family val="0"/>
        <charset val="1"/>
      </rPr>
      <t xml:space="preserve">/ ± / 1+ / 2+ / 3+ </t>
    </r>
    <r>
      <rPr>
        <sz val="10"/>
        <rFont val="Noto Sans CJK SC"/>
        <family val="2"/>
      </rPr>
      <t xml:space="preserve">등급으로 선택 입력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 아침 소변 권장 안내를 입력 화면에 표시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</si>
  <si>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record_type=urine_protein, value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0~4 </t>
    </r>
    <r>
      <rPr>
        <sz val="10"/>
        <rFont val="Noto Sans CJK SC"/>
        <family val="2"/>
      </rPr>
      <t xml:space="preserve">정수</t>
    </r>
    <r>
      <rPr>
        <sz val="10"/>
        <rFont val="Arial"/>
        <family val="0"/>
        <charset val="1"/>
      </rPr>
      <t xml:space="preserve">(grade). 1+ </t>
    </r>
    <r>
      <rPr>
        <sz val="10"/>
        <rFont val="Noto Sans CJK SC"/>
        <family val="2"/>
      </rPr>
      <t xml:space="preserve">이상이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연속이면 </t>
    </r>
    <r>
      <rPr>
        <sz val="10"/>
        <rFont val="Arial"/>
        <family val="0"/>
        <charset val="1"/>
      </rPr>
      <t xml:space="preserve">FR-DASH-06 </t>
    </r>
    <r>
      <rPr>
        <sz val="10"/>
        <rFont val="Noto Sans CJK SC"/>
        <family val="2"/>
      </rPr>
      <t xml:space="preserve">검진 안내 트리거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</si>
  <si>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임상병리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판독 조건 안내문 작성</t>
    </r>
  </si>
  <si>
    <t xml:space="preserve">FR-USER-15</t>
  </si>
  <si>
    <t xml:space="preserve">마이페이지</t>
  </si>
  <si>
    <r>
      <rPr>
        <sz val="10"/>
        <rFont val="Noto Sans CJK SC"/>
        <family val="2"/>
      </rPr>
      <t xml:space="preserve">건강정보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기기 수정</t>
    </r>
  </si>
  <si>
    <r>
      <rPr>
        <sz val="10"/>
        <rFont val="Noto Sans CJK SC"/>
        <family val="2"/>
      </rPr>
      <t xml:space="preserve">온보딩에서 받은 모든 항목을 마이페이지에서 수정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질환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기기 변경은 모드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퀘스트 활성화에 즉시 반영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</si>
  <si>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PATCH /api/v1/users/me/profile, PUT /api/v1/users/me/devices. </t>
    </r>
    <r>
      <rPr>
        <sz val="10"/>
        <rFont val="Noto Sans CJK SC"/>
        <family val="2"/>
      </rPr>
      <t xml:space="preserve">수정 이력은 </t>
    </r>
    <r>
      <rPr>
        <sz val="10"/>
        <rFont val="Arial"/>
        <family val="0"/>
        <charset val="1"/>
      </rPr>
      <t xml:space="preserve">updated_at</t>
    </r>
    <r>
      <rPr>
        <sz val="10"/>
        <rFont val="Noto Sans CJK SC"/>
        <family val="2"/>
      </rPr>
      <t xml:space="preserve">으로만 관리</t>
    </r>
    <r>
      <rPr>
        <sz val="10"/>
        <rFont val="Arial"/>
        <family val="0"/>
        <charset val="1"/>
      </rPr>
      <t xml:space="preserve">.</t>
    </r>
  </si>
  <si>
    <t xml:space="preserve">FR-USER-16</t>
  </si>
  <si>
    <t xml:space="preserve">비기능</t>
  </si>
  <si>
    <t xml:space="preserve">개인정보</t>
  </si>
  <si>
    <t xml:space="preserve">건강정보 로그 금지</t>
  </si>
  <si>
    <r>
      <rPr>
        <sz val="10"/>
        <rFont val="Noto Sans CJK SC"/>
        <family val="2"/>
      </rPr>
      <t xml:space="preserve">로그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에러 메시지에 이메일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건강 수치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질환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복약 정보를 남기지 않는다</t>
    </r>
    <r>
      <rPr>
        <sz val="10"/>
        <rFont val="Arial"/>
        <family val="0"/>
        <charset val="1"/>
      </rPr>
      <t xml:space="preserve">. user_id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request_id</t>
    </r>
    <r>
      <rPr>
        <sz val="10"/>
        <rFont val="Noto Sans CJK SC"/>
        <family val="2"/>
      </rPr>
      <t xml:space="preserve">만 기록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</si>
  <si>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로그 샘플 검수 시 개인정보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 500 </t>
    </r>
    <r>
      <rPr>
        <sz val="10"/>
        <rFont val="Noto Sans CJK SC"/>
        <family val="2"/>
      </rPr>
      <t xml:space="preserve">에러 </t>
    </r>
    <r>
      <rPr>
        <sz val="10"/>
        <rFont val="Arial"/>
        <family val="0"/>
        <charset val="1"/>
      </rPr>
      <t xml:space="preserve">message</t>
    </r>
    <r>
      <rPr>
        <sz val="10"/>
        <rFont val="Noto Sans CJK SC"/>
        <family val="2"/>
      </rPr>
      <t xml:space="preserve">에 개인정보</t>
    </r>
    <r>
      <rPr>
        <sz val="10"/>
        <rFont val="Arial"/>
        <family val="0"/>
        <charset val="1"/>
      </rPr>
      <t xml:space="preserve">·SQL·</t>
    </r>
    <r>
      <rPr>
        <sz val="10"/>
        <rFont val="Noto Sans CJK SC"/>
        <family val="2"/>
      </rPr>
      <t xml:space="preserve">스택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</si>
  <si>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백엔드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인프라</t>
    </r>
  </si>
  <si>
    <t xml:space="preserve">전체</t>
  </si>
  <si>
    <t xml:space="preserve">FR-PRED-01</t>
  </si>
  <si>
    <t xml:space="preserve">대상 범위</t>
  </si>
  <si>
    <t xml:space="preserve">대상 만성질환 범위</t>
  </si>
  <si>
    <r>
      <rPr>
        <sz val="10"/>
        <rFont val="Noto Sans CJK SC"/>
        <family val="2"/>
      </rPr>
      <t xml:space="preserve">서비스가 다루는 질환은 심혈관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신장 연속선의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: A</t>
    </r>
    <r>
      <rPr>
        <sz val="10"/>
        <rFont val="Noto Sans CJK SC"/>
        <family val="2"/>
      </rPr>
      <t xml:space="preserve">등급 고혈압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예측 모델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퀘스트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대시보드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비만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모델 없이 </t>
    </r>
    <r>
      <rPr>
        <sz val="10"/>
        <rFont val="Arial"/>
        <family val="0"/>
        <charset val="1"/>
      </rPr>
      <t xml:space="preserve">BMI·</t>
    </r>
    <r>
      <rPr>
        <sz val="10"/>
        <rFont val="Noto Sans CJK SC"/>
        <family val="2"/>
      </rPr>
      <t xml:space="preserve">허리둘레 밴드</t>
    </r>
    <r>
      <rPr>
        <sz val="10"/>
        <rFont val="Arial"/>
        <family val="0"/>
        <charset val="1"/>
      </rPr>
      <t xml:space="preserve">), A</t>
    </r>
    <r>
      <rPr>
        <sz val="10"/>
        <rFont val="Noto Sans CJK SC"/>
        <family val="2"/>
      </rPr>
      <t xml:space="preserve">확장 대사증후군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종합 카드</t>
    </r>
    <r>
      <rPr>
        <sz val="10"/>
        <rFont val="Arial"/>
        <family val="0"/>
        <charset val="1"/>
      </rPr>
      <t xml:space="preserve">), B</t>
    </r>
    <r>
      <rPr>
        <sz val="10"/>
        <rFont val="Noto Sans CJK SC"/>
        <family val="2"/>
      </rPr>
      <t xml:space="preserve">등급 만성콩팥병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소변 스틱 보조 지표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이상지질혈증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지방간은 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검진 입력 추이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호흡기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근골격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내분비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자가면역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암은 대상 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</si>
  <si>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기획서 </t>
    </r>
    <r>
      <rPr>
        <sz val="10"/>
        <rFont val="Arial"/>
        <family val="0"/>
        <charset val="1"/>
      </rPr>
      <t xml:space="preserve">1·4·7·9</t>
    </r>
    <r>
      <rPr>
        <sz val="10"/>
        <rFont val="Noto Sans CJK SC"/>
        <family val="2"/>
      </rPr>
      <t xml:space="preserve">장에 동일한 범위표 존재</t>
    </r>
    <r>
      <rPr>
        <sz val="10"/>
        <rFont val="Arial"/>
        <family val="0"/>
        <charset val="1"/>
      </rPr>
      <t xml:space="preserve">. predictions.disease enum = hypertension, diabetes (+ckd 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대상 외 질환은 온보딩 선택지에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</si>
  <si>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AI / </t>
    </r>
    <r>
      <rPr>
        <sz val="10"/>
        <rFont val="Noto Sans CJK SC"/>
        <family val="2"/>
      </rPr>
      <t xml:space="preserve">기획</t>
    </r>
  </si>
  <si>
    <r>
      <rPr>
        <sz val="10"/>
        <rFont val="Noto Sans CJK SC"/>
        <family val="2"/>
      </rPr>
      <t xml:space="preserve">결정 근거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가정 측정 지표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생활습관 반응성</t>
    </r>
    <r>
      <rPr>
        <sz val="10"/>
        <rFont val="Arial"/>
        <family val="0"/>
        <charset val="1"/>
      </rPr>
      <t xml:space="preserve">·KNHANES </t>
    </r>
    <r>
      <rPr>
        <sz val="10"/>
        <rFont val="Noto Sans CJK SC"/>
        <family val="2"/>
      </rPr>
      <t xml:space="preserve">라벨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조건</t>
    </r>
  </si>
  <si>
    <t xml:space="preserve">FR-PRED-02</t>
  </si>
  <si>
    <t xml:space="preserve">예측 모델</t>
  </si>
  <si>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 위험도 예측</t>
    </r>
  </si>
  <si>
    <r>
      <rPr>
        <sz val="10"/>
        <rFont val="Noto Sans CJK SC"/>
        <family val="2"/>
      </rPr>
      <t xml:space="preserve">공개 데이터셋</t>
    </r>
    <r>
      <rPr>
        <sz val="10"/>
        <rFont val="Arial"/>
        <family val="0"/>
        <charset val="1"/>
      </rPr>
      <t xml:space="preserve">(KNHANES 1</t>
    </r>
    <r>
      <rPr>
        <sz val="10"/>
        <rFont val="Noto Sans CJK SC"/>
        <family val="2"/>
      </rPr>
      <t xml:space="preserve">순위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학습한 분류 모델이 질환별 위험도</t>
    </r>
    <r>
      <rPr>
        <sz val="10"/>
        <rFont val="Arial"/>
        <family val="0"/>
        <charset val="1"/>
      </rPr>
      <t xml:space="preserve">(0~1)</t>
    </r>
    <r>
      <rPr>
        <sz val="10"/>
        <rFont val="Noto Sans CJK SC"/>
        <family val="2"/>
      </rPr>
      <t xml:space="preserve">를 출력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입력 피처는 나이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성별</t>
    </r>
    <r>
      <rPr>
        <sz val="10"/>
        <rFont val="Arial"/>
        <family val="0"/>
        <charset val="1"/>
      </rPr>
      <t xml:space="preserve">·BMI·</t>
    </r>
    <r>
      <rPr>
        <sz val="10"/>
        <rFont val="Noto Sans CJK SC"/>
        <family val="2"/>
      </rPr>
      <t xml:space="preserve">허리둘레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흡연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음주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가족력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생활습관 점수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혈당 측정값은 피처에서 제외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</si>
  <si>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검증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테스트 분리</t>
    </r>
    <r>
      <rPr>
        <sz val="10"/>
        <rFont val="Arial"/>
        <family val="0"/>
        <charset val="1"/>
      </rPr>
      <t xml:space="preserve">, AUC·F1·calibration </t>
    </r>
    <r>
      <rPr>
        <sz val="10"/>
        <rFont val="Noto Sans CJK SC"/>
        <family val="2"/>
      </rPr>
      <t xml:space="preserve">기록</t>
    </r>
    <r>
      <rPr>
        <sz val="10"/>
        <rFont val="Arial"/>
        <family val="0"/>
        <charset val="1"/>
      </rPr>
      <t xml:space="preserve">(docs/experiments.md). </t>
    </r>
    <r>
      <rPr>
        <sz val="10"/>
        <rFont val="Noto Sans CJK SC"/>
        <family val="2"/>
      </rPr>
      <t xml:space="preserve">베이스라인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로지스틱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대비 향상폭 기록</t>
    </r>
    <r>
      <rPr>
        <sz val="10"/>
        <rFont val="Arial"/>
        <family val="0"/>
        <charset val="1"/>
      </rPr>
      <t xml:space="preserve">. seed </t>
    </r>
    <r>
      <rPr>
        <sz val="10"/>
        <rFont val="Noto Sans CJK SC"/>
        <family val="2"/>
      </rPr>
      <t xml:space="preserve">고정 후 동일 입력 → 동일 출력 테스트 통과</t>
    </r>
    <r>
      <rPr>
        <sz val="10"/>
        <rFont val="Arial"/>
        <family val="0"/>
        <charset val="1"/>
      </rPr>
      <t xml:space="preserve">.</t>
    </r>
  </si>
  <si>
    <t xml:space="preserve">AI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</si>
  <si>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평가 </t>
    </r>
    <r>
      <rPr>
        <sz val="10"/>
        <rFont val="Arial"/>
        <family val="0"/>
        <charset val="1"/>
      </rPr>
      <t xml:space="preserve">3-1, 3-3</t>
    </r>
  </si>
  <si>
    <t xml:space="preserve">FR-PRED-03</t>
  </si>
  <si>
    <t xml:space="preserve">매일 위험도 재계산</t>
  </si>
  <si>
    <r>
      <rPr>
        <sz val="10"/>
        <rFont val="Noto Sans CJK SC"/>
        <family val="2"/>
      </rPr>
      <t xml:space="preserve">매일 자정 확정된 생활습관 점수를 입력해 전 사용자 위험도를 재계산하고 </t>
    </r>
    <r>
      <rPr>
        <sz val="10"/>
        <rFont val="Arial"/>
        <family val="0"/>
        <charset val="1"/>
      </rPr>
      <t xml:space="preserve">predictions</t>
    </r>
    <r>
      <rPr>
        <sz val="10"/>
        <rFont val="Noto Sans CJK SC"/>
        <family val="2"/>
      </rPr>
      <t xml:space="preserve">에 일별로 저장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온보딩 직후 최초 계산은 요청 즉시 큐에 넣고 </t>
    </r>
    <r>
      <rPr>
        <sz val="10"/>
        <rFont val="Arial"/>
        <family val="0"/>
        <charset val="1"/>
      </rPr>
      <t xml:space="preserve">SSE</t>
    </r>
    <r>
      <rPr>
        <sz val="10"/>
        <rFont val="Noto Sans CJK SC"/>
        <family val="2"/>
      </rPr>
      <t xml:space="preserve">로 결과 전달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</si>
  <si>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POST /api/v1/predictions → 202 {task_id}. </t>
    </r>
    <r>
      <rPr>
        <sz val="10"/>
        <rFont val="Noto Sans CJK SC"/>
        <family val="2"/>
      </rPr>
      <t xml:space="preserve">결과는 </t>
    </r>
    <r>
      <rPr>
        <sz val="10"/>
        <rFont val="Arial"/>
        <family val="0"/>
        <charset val="1"/>
      </rPr>
      <t xml:space="preserve">GET /api/v1/tasks/{task_id}/events(SSE). </t>
    </r>
    <r>
      <rPr>
        <sz val="10"/>
        <rFont val="Noto Sans CJK SC"/>
        <family val="2"/>
      </rPr>
      <t xml:space="preserve">재계산 배치는 워커 스케줄로 실행</t>
    </r>
    <r>
      <rPr>
        <sz val="10"/>
        <rFont val="Arial"/>
        <family val="0"/>
        <charset val="1"/>
      </rPr>
      <t xml:space="preserve">, FastAPI </t>
    </r>
    <r>
      <rPr>
        <sz val="10"/>
        <rFont val="Noto Sans CJK SC"/>
        <family val="2"/>
      </rPr>
      <t xml:space="preserve">프로세스에서 모델 로딩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추론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</si>
  <si>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평가 </t>
    </r>
    <r>
      <rPr>
        <sz val="10"/>
        <rFont val="Arial"/>
        <family val="0"/>
        <charset val="1"/>
      </rPr>
      <t xml:space="preserve">5-5</t>
    </r>
  </si>
  <si>
    <t xml:space="preserve">FR-PRED-04</t>
  </si>
  <si>
    <r>
      <rPr>
        <sz val="10"/>
        <rFont val="Arial"/>
        <family val="0"/>
        <charset val="1"/>
      </rPr>
      <t xml:space="preserve">What-if </t>
    </r>
    <r>
      <rPr>
        <sz val="10"/>
        <rFont val="Noto Sans CJK SC"/>
        <family val="2"/>
      </rPr>
      <t xml:space="preserve">시뮬레이션</t>
    </r>
  </si>
  <si>
    <r>
      <rPr>
        <sz val="10"/>
        <rFont val="Noto Sans CJK SC"/>
        <family val="2"/>
      </rPr>
      <t xml:space="preserve">사용자가 목표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체중 </t>
    </r>
    <r>
      <rPr>
        <sz val="10"/>
        <rFont val="Arial"/>
        <family val="0"/>
        <charset val="1"/>
      </rPr>
      <t xml:space="preserve">-3kg,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 걷기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고르면 피처를 바꿔 재예측한 위험도 변화폭을 보여준다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도달 일수는 근거 데이터가 없어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예시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로만 표기하거나 제외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</si>
  <si>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POST /api/v1/predictions/simulate → 202, </t>
    </r>
    <r>
      <rPr>
        <sz val="10"/>
        <rFont val="Noto Sans CJK SC"/>
        <family val="2"/>
      </rPr>
      <t xml:space="preserve">결과에 현재 위험도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시뮬레이션 위험도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차이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일수 표기 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예시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라벨 필수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</si>
  <si>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기획서 </t>
    </r>
    <r>
      <rPr>
        <sz val="10"/>
        <rFont val="Arial"/>
        <family val="0"/>
        <charset val="1"/>
      </rPr>
      <t xml:space="preserve">2·7</t>
    </r>
    <r>
      <rPr>
        <sz val="10"/>
        <rFont val="Noto Sans CJK SC"/>
        <family val="2"/>
      </rPr>
      <t xml:space="preserve">장에 추가된 요구 반영</t>
    </r>
    <r>
      <rPr>
        <sz val="10"/>
        <rFont val="Arial"/>
        <family val="0"/>
        <charset val="1"/>
      </rPr>
      <t xml:space="preserve">. sprint 4</t>
    </r>
  </si>
  <si>
    <t xml:space="preserve">FR-PRED-05</t>
  </si>
  <si>
    <t xml:space="preserve">대사증후군 종합 카드</t>
  </si>
  <si>
    <r>
      <rPr>
        <sz val="10"/>
        <rFont val="Noto Sans CJK SC"/>
        <family val="2"/>
      </rPr>
      <t xml:space="preserve">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허리둘레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가정 측정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중성지방</t>
    </r>
    <r>
      <rPr>
        <sz val="10"/>
        <rFont val="Arial"/>
        <family val="0"/>
        <charset val="1"/>
      </rPr>
      <t xml:space="preserve">·HDL(</t>
    </r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) 5</t>
    </r>
    <r>
      <rPr>
        <sz val="10"/>
        <rFont val="Noto Sans CJK SC"/>
        <family val="2"/>
      </rPr>
      <t xml:space="preserve">개 기준 중 몇 개 해당인지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별도 모델 없음</t>
    </r>
    <r>
      <rPr>
        <sz val="10"/>
        <rFont val="Arial"/>
        <family val="0"/>
        <charset val="1"/>
      </rPr>
      <t xml:space="preserve">.</t>
    </r>
  </si>
  <si>
    <t xml:space="preserve">여유 시</t>
  </si>
  <si>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판정 규칙이 학회 기준과 일치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검진값 없으면 </t>
    </r>
    <r>
      <rPr>
        <sz val="10"/>
        <rFont val="Arial"/>
        <family val="0"/>
        <charset val="1"/>
      </rPr>
      <t xml:space="preserve">'3</t>
    </r>
    <r>
      <rPr>
        <sz val="10"/>
        <rFont val="Noto Sans CJK SC"/>
        <family val="2"/>
      </rPr>
      <t xml:space="preserve">개 기준만 확인됨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표시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</si>
  <si>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sprint 4 </t>
    </r>
    <r>
      <rPr>
        <sz val="10"/>
        <rFont val="Noto Sans CJK SC"/>
        <family val="2"/>
      </rPr>
      <t xml:space="preserve">시작 시 판단</t>
    </r>
  </si>
  <si>
    <t xml:space="preserve">FR-PRED-06</t>
  </si>
  <si>
    <r>
      <rPr>
        <sz val="10"/>
        <rFont val="Noto Sans CJK SC"/>
        <family val="2"/>
      </rPr>
      <t xml:space="preserve">만성콩팥병 위험도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</si>
  <si>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KNHANES </t>
    </r>
    <r>
      <rPr>
        <sz val="10"/>
        <rFont val="Noto Sans CJK SC"/>
        <family val="2"/>
      </rPr>
      <t xml:space="preserve">요단백</t>
    </r>
    <r>
      <rPr>
        <sz val="10"/>
        <rFont val="Arial"/>
        <family val="0"/>
        <charset val="1"/>
      </rPr>
      <t xml:space="preserve">·ACR·</t>
    </r>
    <r>
      <rPr>
        <sz val="10"/>
        <rFont val="Noto Sans CJK SC"/>
        <family val="2"/>
      </rPr>
      <t xml:space="preserve">크레아티닌으로 </t>
    </r>
    <r>
      <rPr>
        <sz val="10"/>
        <rFont val="Arial"/>
        <family val="0"/>
        <charset val="1"/>
      </rPr>
      <t xml:space="preserve">CKD </t>
    </r>
    <r>
      <rPr>
        <sz val="10"/>
        <rFont val="Noto Sans CJK SC"/>
        <family val="2"/>
      </rPr>
      <t xml:space="preserve">라벨을 만들어 위험도 모델 추가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피처는 고혈압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 모델과 동일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</si>
  <si>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FR-PRED-02</t>
    </r>
    <r>
      <rPr>
        <sz val="10"/>
        <rFont val="Noto Sans CJK SC"/>
        <family val="2"/>
      </rPr>
      <t xml:space="preserve">와 동일 검증 기준</t>
    </r>
    <r>
      <rPr>
        <sz val="10"/>
        <rFont val="Arial"/>
        <family val="0"/>
        <charset val="1"/>
      </rPr>
      <t xml:space="preserve">. sprint 4 </t>
    </r>
    <r>
      <rPr>
        <sz val="10"/>
        <rFont val="Noto Sans CJK SC"/>
        <family val="2"/>
      </rPr>
      <t xml:space="preserve">시작 시 필수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기능 연결 완료 시에만 착수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</si>
  <si>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축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일</t>
    </r>
  </si>
  <si>
    <t xml:space="preserve">FR-PRED-07</t>
  </si>
  <si>
    <t xml:space="preserve">피드백</t>
  </si>
  <si>
    <t xml:space="preserve">예측 피드백 저장</t>
  </si>
  <si>
    <r>
      <rPr>
        <sz val="10"/>
        <rFont val="Noto Sans CJK SC"/>
        <family val="2"/>
      </rPr>
      <t xml:space="preserve">위험도 카드에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도움됨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버튼과 실제 측정값 입력을 두고 </t>
    </r>
    <r>
      <rPr>
        <sz val="10"/>
        <rFont val="Arial"/>
        <family val="0"/>
        <charset val="1"/>
      </rPr>
      <t xml:space="preserve">prediction_feedbacks</t>
    </r>
    <r>
      <rPr>
        <sz val="10"/>
        <rFont val="Noto Sans CJK SC"/>
        <family val="2"/>
      </rPr>
      <t xml:space="preserve">에 저장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집계해 재학습 여부를 판단하는 구조를 둔다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</si>
  <si>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POST /api/v1/predictions/{id}/feedback → 201. </t>
    </r>
    <r>
      <rPr>
        <sz val="10"/>
        <rFont val="Noto Sans CJK SC"/>
        <family val="2"/>
      </rPr>
      <t xml:space="preserve">집계 스크립트가 주간 리포트</t>
    </r>
    <r>
      <rPr>
        <sz val="10"/>
        <rFont val="Arial"/>
        <family val="0"/>
        <charset val="1"/>
      </rPr>
      <t xml:space="preserve">(docs/feedback_weekly.md) </t>
    </r>
    <r>
      <rPr>
        <sz val="10"/>
        <rFont val="Noto Sans CJK SC"/>
        <family val="2"/>
      </rPr>
      <t xml:space="preserve">생성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</si>
  <si>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평가 </t>
    </r>
    <r>
      <rPr>
        <sz val="10"/>
        <rFont val="Arial"/>
        <family val="0"/>
        <charset val="1"/>
      </rPr>
      <t xml:space="preserve">3-4. </t>
    </r>
    <r>
      <rPr>
        <sz val="10"/>
        <rFont val="Noto Sans CJK SC"/>
        <family val="2"/>
      </rPr>
      <t xml:space="preserve">실제 재학습까지 못 가도 구조 필수</t>
    </r>
  </si>
  <si>
    <t xml:space="preserve">FR-PRED-08</t>
  </si>
  <si>
    <t xml:space="preserve">데이터</t>
  </si>
  <si>
    <t xml:space="preserve">공개 데이터셋 출처 기록</t>
  </si>
  <si>
    <r>
      <rPr>
        <sz val="10"/>
        <rFont val="Noto Sans CJK SC"/>
        <family val="2"/>
      </rPr>
      <t xml:space="preserve">데이터셋 출처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버전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라이선스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다운로드 절차를 </t>
    </r>
    <r>
      <rPr>
        <sz val="10"/>
        <rFont val="Arial"/>
        <family val="0"/>
        <charset val="1"/>
      </rPr>
      <t xml:space="preserve">docs/datasets.md</t>
    </r>
    <r>
      <rPr>
        <sz val="10"/>
        <rFont val="Noto Sans CJK SC"/>
        <family val="2"/>
      </rPr>
      <t xml:space="preserve">에 기록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원시자료는 레포에 올리지 않는다</t>
    </r>
    <r>
      <rPr>
        <sz val="10"/>
        <rFont val="Arial"/>
        <family val="0"/>
        <charset val="1"/>
      </rPr>
      <t xml:space="preserve">(.gitignore data/).</t>
    </r>
  </si>
  <si>
    <r>
      <rPr>
        <sz val="10"/>
        <rFont val="Arial"/>
        <family val="0"/>
        <charset val="1"/>
      </rPr>
      <t xml:space="preserve">docs/datasets.md </t>
    </r>
    <r>
      <rPr>
        <sz val="10"/>
        <rFont val="Noto Sans CJK SC"/>
        <family val="2"/>
      </rPr>
      <t xml:space="preserve">존재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레포에 원시 데이터 파일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</si>
  <si>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KNHANES </t>
    </r>
    <r>
      <rPr>
        <sz val="10"/>
        <rFont val="Noto Sans CJK SC"/>
        <family val="2"/>
      </rPr>
      <t xml:space="preserve">재배포 금지</t>
    </r>
  </si>
  <si>
    <t xml:space="preserve">FR-DASH-01</t>
  </si>
  <si>
    <t xml:space="preserve">추이</t>
  </si>
  <si>
    <t xml:space="preserve">위험도 추이 차트</t>
  </si>
  <si>
    <r>
      <rPr>
        <sz val="10"/>
        <rFont val="Noto Sans CJK SC"/>
        <family val="2"/>
      </rPr>
      <t xml:space="preserve">질환별 위험도를 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월 단위 라인 차트로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기간 파라미터 필수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</si>
  <si>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GET /api/v1/dashboard/risk-trend?disease=&amp;range= → 200. </t>
    </r>
    <r>
      <rPr>
        <sz val="10"/>
        <rFont val="Noto Sans CJK SC"/>
        <family val="2"/>
      </rPr>
      <t xml:space="preserve">일별 스냅샷 테이블에서 읽고 요청 시 계산하지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로그인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액션으로 도달</t>
    </r>
    <r>
      <rPr>
        <sz val="10"/>
        <rFont val="Arial"/>
        <family val="0"/>
        <charset val="1"/>
      </rPr>
      <t xml:space="preserve">.</t>
    </r>
  </si>
  <si>
    <t xml:space="preserve">UI/UX 4-3, API 5-1</t>
  </si>
  <si>
    <t xml:space="preserve">FR-DASH-02</t>
  </si>
  <si>
    <t xml:space="preserve">건강 기록 추이 차트</t>
  </si>
  <si>
    <r>
      <rPr>
        <sz val="10"/>
        <rFont val="Noto Sans CJK SC"/>
        <family val="2"/>
      </rPr>
      <t xml:space="preserve">보유 기기에 따라 활성화된 </t>
    </r>
    <r>
      <rPr>
        <sz val="10"/>
        <rFont val="Arial"/>
        <family val="0"/>
        <charset val="1"/>
      </rPr>
      <t xml:space="preserve">record_type</t>
    </r>
    <r>
      <rPr>
        <sz val="10"/>
        <rFont val="Noto Sans CJK SC"/>
        <family val="2"/>
      </rPr>
      <t xml:space="preserve">의 추이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허리둘레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단백뇨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지난주 대비 증감 표시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</si>
  <si>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활성화되지 않은 지표는 카드 자체가 숨김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데이터 없음 상태에서는 입력 유도 </t>
    </r>
    <r>
      <rPr>
        <sz val="10"/>
        <rFont val="Arial"/>
        <family val="0"/>
        <charset val="1"/>
      </rPr>
      <t xml:space="preserve">CTA.</t>
    </r>
  </si>
  <si>
    <t xml:space="preserve">FR-DASH-03</t>
  </si>
  <si>
    <t xml:space="preserve">현재 상태 밴드 표시</t>
  </si>
  <si>
    <r>
      <rPr>
        <sz val="10"/>
        <rFont val="Noto Sans CJK SC"/>
        <family val="2"/>
      </rPr>
      <t xml:space="preserve">최근 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혈당</t>
    </r>
    <r>
      <rPr>
        <sz val="10"/>
        <rFont val="Arial"/>
        <family val="0"/>
        <charset val="1"/>
      </rPr>
      <t xml:space="preserve">·BMI·</t>
    </r>
    <r>
      <rPr>
        <sz val="10"/>
        <rFont val="Noto Sans CJK SC"/>
        <family val="2"/>
      </rPr>
      <t xml:space="preserve">허리둘레를 학회 기준으로 정상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위험 밴드로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색과 텍스트를 함께 사용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</si>
  <si>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기준값 표가 </t>
    </r>
    <r>
      <rPr>
        <sz val="10"/>
        <rFont val="Arial"/>
        <family val="0"/>
        <charset val="1"/>
      </rPr>
      <t xml:space="preserve">docs/thresholds.md</t>
    </r>
    <r>
      <rPr>
        <sz val="10"/>
        <rFont val="Noto Sans CJK SC"/>
        <family val="2"/>
      </rPr>
      <t xml:space="preserve">와 일치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색만으로 구분하지 않음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접근성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</si>
  <si>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축이 기준표 작성</t>
    </r>
  </si>
  <si>
    <t xml:space="preserve">FR-DASH-04</t>
  </si>
  <si>
    <t xml:space="preserve">통계</t>
  </si>
  <si>
    <r>
      <rPr>
        <sz val="10"/>
        <rFont val="Noto Sans CJK SC"/>
        <family val="2"/>
      </rPr>
      <t xml:space="preserve">달성 통계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능력치 레이더</t>
    </r>
  </si>
  <si>
    <r>
      <rPr>
        <sz val="10"/>
        <rFont val="Noto Sans CJK SC"/>
        <family val="2"/>
      </rPr>
      <t xml:space="preserve">누적 퀘스트 달성 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이번 주 달성률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능력치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축 레이더 차트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</si>
  <si>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GET /api/v1/dashboard/summary → 200, </t>
    </r>
    <r>
      <rPr>
        <sz val="10"/>
        <rFont val="Noto Sans CJK SC"/>
        <family val="2"/>
      </rPr>
      <t xml:space="preserve">캐시 </t>
    </r>
    <r>
      <rPr>
        <sz val="10"/>
        <rFont val="Arial"/>
        <family val="0"/>
        <charset val="1"/>
      </rPr>
      <t xml:space="preserve">TTL 60~300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확정 필요</t>
    </r>
    <r>
      <rPr>
        <sz val="10"/>
        <rFont val="Arial"/>
        <family val="0"/>
        <charset val="1"/>
      </rPr>
      <t xml:space="preserve">].</t>
    </r>
  </si>
  <si>
    <t xml:space="preserve">FR-DASH-05</t>
  </si>
  <si>
    <t xml:space="preserve">모드</t>
  </si>
  <si>
    <t xml:space="preserve">관리 모드 대시보드</t>
  </si>
  <si>
    <r>
      <rPr>
        <sz val="10"/>
        <rFont val="Noto Sans CJK SC"/>
        <family val="2"/>
      </rPr>
      <t xml:space="preserve">진단 이력이 있는 사용자는 위험도 대신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목표 범위 유지율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중 정상 범위 측정 비율</t>
    </r>
    <r>
      <rPr>
        <sz val="10"/>
        <rFont val="Arial"/>
        <family val="0"/>
        <charset val="1"/>
      </rPr>
      <t xml:space="preserve">)'</t>
    </r>
    <r>
      <rPr>
        <sz val="10"/>
        <rFont val="Noto Sans CJK SC"/>
        <family val="2"/>
      </rPr>
      <t xml:space="preserve">을 메인 지표로 표시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</si>
  <si>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user_mode=management</t>
    </r>
    <r>
      <rPr>
        <sz val="10"/>
        <rFont val="Noto Sans CJK SC"/>
        <family val="2"/>
      </rPr>
      <t xml:space="preserve">이면 홈 카드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대시보드 메인 지표가 유지율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위험도는 보조로 접힘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</si>
  <si>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FR-USER-04 </t>
    </r>
    <r>
      <rPr>
        <sz val="10"/>
        <rFont val="Noto Sans CJK SC"/>
        <family val="2"/>
      </rPr>
      <t xml:space="preserve">분기</t>
    </r>
  </si>
  <si>
    <t xml:space="preserve">FR-DASH-06</t>
  </si>
  <si>
    <t xml:space="preserve">안내</t>
  </si>
  <si>
    <t xml:space="preserve">검진 권고 안내</t>
  </si>
  <si>
    <r>
      <rPr>
        <sz val="10"/>
        <rFont val="Noto Sans CJK SC"/>
        <family val="2"/>
      </rPr>
      <t xml:space="preserve">단백뇨 </t>
    </r>
    <r>
      <rPr>
        <sz val="10"/>
        <rFont val="Arial"/>
        <family val="0"/>
        <charset val="1"/>
      </rPr>
      <t xml:space="preserve">1+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연속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혈당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위험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밴드 연속 등 규칙에 해당하면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병원에서 검사를 받아 보세요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안내를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처방 문구 금지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</si>
  <si>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안내 규칙이 </t>
    </r>
    <r>
      <rPr>
        <sz val="10"/>
        <rFont val="Arial"/>
        <family val="0"/>
        <charset val="1"/>
      </rPr>
      <t xml:space="preserve">docs/thresholds.md</t>
    </r>
    <r>
      <rPr>
        <sz val="10"/>
        <rFont val="Noto Sans CJK SC"/>
        <family val="2"/>
      </rPr>
      <t xml:space="preserve">에 명시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문구에 질환 단정 표현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안내 표시 이력 저장</t>
    </r>
    <r>
      <rPr>
        <sz val="10"/>
        <rFont val="Arial"/>
        <family val="0"/>
        <charset val="1"/>
      </rPr>
      <t xml:space="preserve">.</t>
    </r>
  </si>
  <si>
    <t xml:space="preserve">F2, F5</t>
  </si>
  <si>
    <t xml:space="preserve">의료 행위 범위 제외 원칙</t>
  </si>
  <si>
    <t xml:space="preserve">FR-CHAL-01</t>
  </si>
  <si>
    <t xml:space="preserve">생성</t>
  </si>
  <si>
    <t xml:space="preserve">일일 퀘스트 생성</t>
  </si>
  <si>
    <r>
      <rPr>
        <sz val="10"/>
        <rFont val="Noto Sans CJK SC"/>
        <family val="2"/>
      </rPr>
      <t xml:space="preserve">매일 </t>
    </r>
    <r>
      <rPr>
        <sz val="10"/>
        <rFont val="Arial"/>
        <family val="0"/>
        <charset val="1"/>
      </rPr>
      <t xml:space="preserve">06:00 </t>
    </r>
    <r>
      <rPr>
        <sz val="10"/>
        <rFont val="Noto Sans CJK SC"/>
        <family val="2"/>
      </rPr>
      <t xml:space="preserve">워커 배치로 전 사용자에게 </t>
    </r>
    <r>
      <rPr>
        <sz val="10"/>
        <rFont val="Arial"/>
        <family val="0"/>
        <charset val="1"/>
      </rPr>
      <t xml:space="preserve">3~5</t>
    </r>
    <r>
      <rPr>
        <sz val="10"/>
        <rFont val="Noto Sans CJK SC"/>
        <family val="2"/>
      </rPr>
      <t xml:space="preserve">개 퀘스트를 퀘스트 풀에서 선택해 생성</t>
    </r>
    <r>
      <rPr>
        <sz val="10"/>
        <rFont val="Arial"/>
        <family val="0"/>
        <charset val="1"/>
      </rPr>
      <t xml:space="preserve">. LLM(FR-RECO) </t>
    </r>
    <r>
      <rPr>
        <sz val="10"/>
        <rFont val="Noto Sans CJK SC"/>
        <family val="2"/>
      </rPr>
      <t xml:space="preserve">실패 시 규칙 기반 세트로 대체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</si>
  <si>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06:00 </t>
    </r>
    <r>
      <rPr>
        <sz val="10"/>
        <rFont val="Noto Sans CJK SC"/>
        <family val="2"/>
      </rPr>
      <t xml:space="preserve">배치 완료 후 </t>
    </r>
    <r>
      <rPr>
        <sz val="10"/>
        <rFont val="Arial"/>
        <family val="0"/>
        <charset val="1"/>
      </rPr>
      <t xml:space="preserve">GET /api/v1/quests/today → 200, items 3~5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사용자 요청 시점에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호출 없음</t>
    </r>
    <r>
      <rPr>
        <sz val="10"/>
        <rFont val="Arial"/>
        <family val="0"/>
        <charset val="1"/>
      </rPr>
      <t xml:space="preserve">.</t>
    </r>
  </si>
  <si>
    <t xml:space="preserve">F3, F4</t>
  </si>
  <si>
    <r>
      <rPr>
        <sz val="10"/>
        <rFont val="Arial"/>
        <family val="0"/>
        <charset val="1"/>
      </rPr>
      <t xml:space="preserve">API 5-1 P95 </t>
    </r>
    <r>
      <rPr>
        <sz val="10"/>
        <rFont val="Noto Sans CJK SC"/>
        <family val="2"/>
      </rPr>
      <t xml:space="preserve">대응</t>
    </r>
  </si>
  <si>
    <t xml:space="preserve">FR-CHAL-02</t>
  </si>
  <si>
    <t xml:space="preserve">풀</t>
  </si>
  <si>
    <r>
      <rPr>
        <sz val="10"/>
        <rFont val="Noto Sans CJK SC"/>
        <family val="2"/>
      </rPr>
      <t xml:space="preserve">퀘스트 풀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개 정의</t>
    </r>
  </si>
  <si>
    <r>
      <rPr>
        <sz val="10"/>
        <rFont val="Noto Sans CJK SC"/>
        <family val="2"/>
      </rPr>
      <t xml:space="preserve">학회 생활수칙 기반 퀘스트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각 퀘스트는 위험요인 카테고리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활동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식생활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수면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금연절주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대상 질환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퀘스트 유형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체크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기록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필요 기기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능력치 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근거 출처를 가진다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</si>
  <si>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quest_pool </t>
    </r>
    <r>
      <rPr>
        <sz val="10"/>
        <rFont val="Noto Sans CJK SC"/>
        <family val="2"/>
      </rPr>
      <t xml:space="preserve">시드 데이터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퀘스트가 위험요인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이상과 연결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근거 출처 컬럼 비어 있지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</si>
  <si>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10/6</t>
    </r>
    <r>
      <rPr>
        <sz val="10"/>
        <rFont val="Noto Sans CJK SC"/>
        <family val="2"/>
      </rPr>
      <t xml:space="preserve">까지 확정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기획서 미결 </t>
    </r>
    <r>
      <rPr>
        <sz val="10"/>
        <rFont val="Arial"/>
        <family val="0"/>
        <charset val="1"/>
      </rPr>
      <t xml:space="preserve">4)</t>
    </r>
  </si>
  <si>
    <t xml:space="preserve">FR-CHAL-03</t>
  </si>
  <si>
    <t xml:space="preserve">완료</t>
  </si>
  <si>
    <t xml:space="preserve">퀘스트 완료 체크인</t>
  </si>
  <si>
    <r>
      <rPr>
        <sz val="10"/>
        <rFont val="Noto Sans CJK SC"/>
        <family val="2"/>
      </rPr>
      <t xml:space="preserve">체크형은 버튼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기록형은 측정값 입력이 완료 조건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완료 시 코인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능력치 적립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생활습관 점수 갱신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캐릭터 상태 즉시 갱신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</si>
  <si>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POST /api/v1/quests/{quest_id}/complete → 201. </t>
    </r>
    <r>
      <rPr>
        <sz val="10"/>
        <rFont val="Noto Sans CJK SC"/>
        <family val="2"/>
      </rPr>
      <t xml:space="preserve">중복 완료 </t>
    </r>
    <r>
      <rPr>
        <sz val="10"/>
        <rFont val="Arial"/>
        <family val="0"/>
        <charset val="1"/>
      </rPr>
      <t xml:space="preserve">409 'CONFLICT'. </t>
    </r>
    <r>
      <rPr>
        <sz val="10"/>
        <rFont val="Noto Sans CJK SC"/>
        <family val="2"/>
      </rPr>
      <t xml:space="preserve">기록형은 </t>
    </r>
    <r>
      <rPr>
        <sz val="10"/>
        <rFont val="Arial"/>
        <family val="0"/>
        <charset val="1"/>
      </rPr>
      <t xml:space="preserve">health_records </t>
    </r>
    <r>
      <rPr>
        <sz val="10"/>
        <rFont val="Noto Sans CJK SC"/>
        <family val="2"/>
      </rPr>
      <t xml:space="preserve">저장과 한 트랜잭션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</si>
  <si>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홈에서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이내 액션으로 완료</t>
    </r>
  </si>
  <si>
    <t xml:space="preserve">FR-CHAL-04</t>
  </si>
  <si>
    <t xml:space="preserve">활성화</t>
  </si>
  <si>
    <t xml:space="preserve">보유 기기 기반 퀘스트 활성화</t>
  </si>
  <si>
    <r>
      <rPr>
        <sz val="10"/>
        <rFont val="Noto Sans CJK SC"/>
        <family val="2"/>
      </rPr>
      <t xml:space="preserve">기록형 퀘스트는 필요 기기를 보유한 사용자에게만 배정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기기가 없으면 같은 위험요인의 체크형 대체 퀘스트를 배정한다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</si>
  <si>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user_devices</t>
    </r>
    <r>
      <rPr>
        <sz val="10"/>
        <rFont val="Noto Sans CJK SC"/>
        <family val="2"/>
      </rPr>
      <t xml:space="preserve">에 없는 기기의 기록형 퀘스트가 배정되면 실패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테스트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대체 매핑표가 </t>
    </r>
    <r>
      <rPr>
        <sz val="10"/>
        <rFont val="Arial"/>
        <family val="0"/>
        <charset val="1"/>
      </rPr>
      <t xml:space="preserve">quest_pool</t>
    </r>
    <r>
      <rPr>
        <sz val="10"/>
        <rFont val="Noto Sans CJK SC"/>
        <family val="2"/>
      </rPr>
      <t xml:space="preserve">에 존재</t>
    </r>
    <r>
      <rPr>
        <sz val="10"/>
        <rFont val="Arial"/>
        <family val="0"/>
        <charset val="1"/>
      </rPr>
      <t xml:space="preserve">(fallback_quest_id).</t>
    </r>
  </si>
  <si>
    <r>
      <rPr>
        <sz val="10"/>
        <rFont val="Arial"/>
        <family val="0"/>
        <charset val="1"/>
      </rPr>
      <t xml:space="preserve">FR-USER-11·12</t>
    </r>
    <r>
      <rPr>
        <sz val="10"/>
        <rFont val="Noto Sans CJK SC"/>
        <family val="2"/>
      </rPr>
      <t xml:space="preserve">와 연결</t>
    </r>
  </si>
  <si>
    <t xml:space="preserve">FR-CHAL-05</t>
  </si>
  <si>
    <t xml:space="preserve">주기 퀘스트</t>
  </si>
  <si>
    <r>
      <rPr>
        <sz val="10"/>
        <rFont val="Noto Sans CJK SC"/>
        <family val="2"/>
      </rPr>
      <t xml:space="preserve">허리둘레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소변 스틱처럼 매일 하지 않는 기록형 퀘스트는 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주기로 배정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</si>
  <si>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quest_pool.frequency = daily | weekly. weekly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회만 배정</t>
    </r>
    <r>
      <rPr>
        <sz val="10"/>
        <rFont val="Arial"/>
        <family val="0"/>
        <charset val="1"/>
      </rPr>
      <t xml:space="preserve">.</t>
    </r>
  </si>
  <si>
    <t xml:space="preserve">FR-CHAL-06</t>
  </si>
  <si>
    <t xml:space="preserve">퀘스트 난이도 피드백</t>
  </si>
  <si>
    <r>
      <rPr>
        <sz val="10"/>
        <rFont val="Noto Sans CJK SC"/>
        <family val="2"/>
      </rPr>
      <t xml:space="preserve">각 퀘스트에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어려움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쉬움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버튼</t>
    </r>
    <r>
      <rPr>
        <sz val="10"/>
        <rFont val="Arial"/>
        <family val="0"/>
        <charset val="1"/>
      </rPr>
      <t xml:space="preserve">. quest_feedbacks</t>
    </r>
    <r>
      <rPr>
        <sz val="10"/>
        <rFont val="Noto Sans CJK SC"/>
        <family val="2"/>
      </rPr>
      <t xml:space="preserve">에 저장하고 다음 퀘스트 선택</t>
    </r>
    <r>
      <rPr>
        <sz val="10"/>
        <rFont val="Arial"/>
        <family val="0"/>
        <charset val="1"/>
      </rPr>
      <t xml:space="preserve">(LLM </t>
    </r>
    <r>
      <rPr>
        <sz val="10"/>
        <rFont val="Noto Sans CJK SC"/>
        <family val="2"/>
      </rPr>
      <t xml:space="preserve">프롬프트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반영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</si>
  <si>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POST /api/v1/quests/{id}/feedback → 201. </t>
    </r>
    <r>
      <rPr>
        <sz val="10"/>
        <rFont val="Noto Sans CJK SC"/>
        <family val="2"/>
      </rPr>
      <t xml:space="preserve">어려움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이상이면 다음 배정에서 난이도 하향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</si>
  <si>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평가 </t>
    </r>
    <r>
      <rPr>
        <sz val="10"/>
        <rFont val="Arial"/>
        <family val="0"/>
        <charset val="1"/>
      </rPr>
      <t xml:space="preserve">3-4</t>
    </r>
  </si>
  <si>
    <t xml:space="preserve">FR-CHAR-01</t>
  </si>
  <si>
    <t xml:space="preserve">캐릭터</t>
  </si>
  <si>
    <r>
      <rPr>
        <sz val="10"/>
        <rFont val="Noto Sans CJK SC"/>
        <family val="2"/>
      </rPr>
      <t xml:space="preserve">공룡 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생성</t>
    </r>
  </si>
  <si>
    <r>
      <rPr>
        <sz val="10"/>
        <rFont val="Noto Sans CJK SC"/>
        <family val="2"/>
      </rPr>
      <t xml:space="preserve">온보딩 마지막 단계에서 픽셀 아트 공룡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종 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종 선택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</si>
  <si>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characters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species enum 6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선택 없이는 온보딩 완료 불가</t>
    </r>
    <r>
      <rPr>
        <sz val="10"/>
        <rFont val="Arial"/>
        <family val="0"/>
        <charset val="1"/>
      </rPr>
      <t xml:space="preserve">.</t>
    </r>
  </si>
  <si>
    <t xml:space="preserve">FR-CHAR-02</t>
  </si>
  <si>
    <t xml:space="preserve">일일 캐릭터 상태 결정</t>
  </si>
  <si>
    <r>
      <rPr>
        <sz val="10"/>
        <rFont val="Noto Sans CJK SC"/>
        <family val="2"/>
      </rPr>
      <t xml:space="preserve">당일 완료 수로 시들시들</t>
    </r>
    <r>
      <rPr>
        <sz val="10"/>
        <rFont val="Arial"/>
        <family val="0"/>
        <charset val="1"/>
      </rPr>
      <t xml:space="preserve">(0)/</t>
    </r>
    <r>
      <rPr>
        <sz val="10"/>
        <rFont val="Noto Sans CJK SC"/>
        <family val="2"/>
      </rPr>
      <t xml:space="preserve">노말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일부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버프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결정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당일은 완료마다 즉시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자정에 전날 기준 확정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</si>
  <si>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상태 전이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규칙이 기획서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상태도와 일치하는 단위 테스트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자정 배치는 워커 스케줄</t>
    </r>
    <r>
      <rPr>
        <sz val="10"/>
        <rFont val="Arial"/>
        <family val="0"/>
        <charset val="1"/>
      </rPr>
      <t xml:space="preserve">.</t>
    </r>
  </si>
  <si>
    <t xml:space="preserve">FR-CHAR-03</t>
  </si>
  <si>
    <t xml:space="preserve">능력치 누적</t>
  </si>
  <si>
    <r>
      <rPr>
        <sz val="10"/>
        <rFont val="Noto Sans CJK SC"/>
        <family val="2"/>
      </rPr>
      <t xml:space="preserve">퀘스트 유형별로 체력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심장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식생활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휴식 </t>
    </r>
    <r>
      <rPr>
        <sz val="10"/>
        <rFont val="Arial"/>
        <family val="0"/>
        <charset val="1"/>
      </rPr>
      <t xml:space="preserve">+1, </t>
    </r>
    <r>
      <rPr>
        <sz val="10"/>
        <rFont val="Noto Sans CJK SC"/>
        <family val="2"/>
      </rPr>
      <t xml:space="preserve">감소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</si>
  <si>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character_stats 4</t>
    </r>
    <r>
      <rPr>
        <sz val="10"/>
        <rFont val="Noto Sans CJK SC"/>
        <family val="2"/>
      </rPr>
      <t xml:space="preserve">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완료 취소 시에도 감소 없음</t>
    </r>
    <r>
      <rPr>
        <sz val="10"/>
        <rFont val="Arial"/>
        <family val="0"/>
        <charset val="1"/>
      </rPr>
      <t xml:space="preserve">.</t>
    </r>
  </si>
  <si>
    <t xml:space="preserve">F3, F8</t>
  </si>
  <si>
    <t xml:space="preserve">FR-SHOP-01</t>
  </si>
  <si>
    <t xml:space="preserve">재화</t>
  </si>
  <si>
    <r>
      <rPr>
        <sz val="10"/>
        <rFont val="Noto Sans CJK SC"/>
        <family val="2"/>
      </rPr>
      <t xml:space="preserve">코인 적립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거래 기록</t>
    </r>
  </si>
  <si>
    <r>
      <rPr>
        <sz val="10"/>
        <rFont val="Noto Sans CJK SC"/>
        <family val="2"/>
      </rPr>
      <t xml:space="preserve">퀘스트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코인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잔액을 직접 수정하지 않고 </t>
    </r>
    <r>
      <rPr>
        <sz val="10"/>
        <rFont val="Arial"/>
        <family val="0"/>
        <charset val="1"/>
      </rPr>
      <t xml:space="preserve">point_transactions</t>
    </r>
    <r>
      <rPr>
        <sz val="10"/>
        <rFont val="Noto Sans CJK SC"/>
        <family val="2"/>
      </rPr>
      <t xml:space="preserve">에 기록 후 집계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</si>
  <si>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wallets.balance = SUM(point_transactions). </t>
    </r>
    <r>
      <rPr>
        <sz val="10"/>
        <rFont val="Noto Sans CJK SC"/>
        <family val="2"/>
      </rPr>
      <t xml:space="preserve">검증 쿼리 테스트</t>
    </r>
    <r>
      <rPr>
        <sz val="10"/>
        <rFont val="Arial"/>
        <family val="0"/>
        <charset val="1"/>
      </rPr>
      <t xml:space="preserve">.</t>
    </r>
  </si>
  <si>
    <t xml:space="preserve">F8</t>
  </si>
  <si>
    <t xml:space="preserve">FR-SHOP-02</t>
  </si>
  <si>
    <r>
      <rPr>
        <sz val="10"/>
        <rFont val="Noto Sans CJK SC"/>
        <family val="2"/>
      </rPr>
      <t xml:space="preserve">치장템 구매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장착</t>
    </r>
  </si>
  <si>
    <r>
      <rPr>
        <sz val="10"/>
        <rFont val="Noto Sans CJK SC"/>
        <family val="2"/>
      </rPr>
      <t xml:space="preserve">코인으로 치장템</t>
    </r>
    <r>
      <rPr>
        <sz val="10"/>
        <rFont val="Arial"/>
        <family val="0"/>
        <charset val="1"/>
      </rPr>
      <t xml:space="preserve">(50~300</t>
    </r>
    <r>
      <rPr>
        <sz val="10"/>
        <rFont val="Noto Sans CJK SC"/>
        <family val="2"/>
      </rPr>
      <t xml:space="preserve">코인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구매 후 캐릭터에 장착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</si>
  <si>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POST /api/v1/items/{id}/purchase → 201, </t>
    </r>
    <r>
      <rPr>
        <sz val="10"/>
        <rFont val="Noto Sans CJK SC"/>
        <family val="2"/>
      </rPr>
      <t xml:space="preserve">잔액 부족 </t>
    </r>
    <r>
      <rPr>
        <sz val="10"/>
        <rFont val="Arial"/>
        <family val="0"/>
        <charset val="1"/>
      </rPr>
      <t xml:space="preserve">409. </t>
    </r>
    <r>
      <rPr>
        <sz val="10"/>
        <rFont val="Noto Sans CJK SC"/>
        <family val="2"/>
      </rPr>
      <t xml:space="preserve">장착 상태가 캐릭터 이미지에 반영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</si>
  <si>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sprint 4 </t>
    </r>
    <r>
      <rPr>
        <sz val="10"/>
        <rFont val="Noto Sans CJK SC"/>
        <family val="2"/>
      </rPr>
      <t xml:space="preserve">이후</t>
    </r>
  </si>
  <si>
    <t xml:space="preserve">FR-SHOP-03</t>
  </si>
  <si>
    <t xml:space="preserve">현실 상품</t>
  </si>
  <si>
    <t xml:space="preserve">현실 건강제품 예시 노출</t>
  </si>
  <si>
    <r>
      <rPr>
        <sz val="10"/>
        <rFont val="Noto Sans CJK SC"/>
        <family val="2"/>
      </rPr>
      <t xml:space="preserve">실제 결제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배송 없이 예시 상품과 전환 비율 예시만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버튼은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준비 중</t>
    </r>
    <r>
      <rPr>
        <sz val="10"/>
        <rFont val="Arial"/>
        <family val="0"/>
        <charset val="1"/>
      </rPr>
      <t xml:space="preserve">'.</t>
    </r>
  </si>
  <si>
    <r>
      <rPr>
        <sz val="10"/>
        <rFont val="Noto Sans CJK SC"/>
        <family val="2"/>
      </rPr>
      <t xml:space="preserve">결제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전환 비율은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예시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</si>
  <si>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전환 비율 미결</t>
    </r>
    <r>
      <rPr>
        <sz val="10"/>
        <rFont val="Arial"/>
        <family val="0"/>
        <charset val="1"/>
      </rPr>
      <t xml:space="preserve">(10/14)</t>
    </r>
  </si>
  <si>
    <t xml:space="preserve">FR-RECO-01</t>
  </si>
  <si>
    <t xml:space="preserve">LLM</t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</si>
  <si>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퀘스트 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이유 생성</t>
    </r>
  </si>
  <si>
    <r>
      <rPr>
        <sz val="10"/>
        <rFont val="Noto Sans CJK SC"/>
        <family val="2"/>
      </rPr>
      <t xml:space="preserve">사용자 위험 요인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질환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보유 기기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달성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피드백을 입력으로 </t>
    </r>
    <r>
      <rPr>
        <sz val="10"/>
        <rFont val="Arial"/>
        <family val="0"/>
        <charset val="1"/>
      </rPr>
      <t xml:space="preserve">LLM</t>
    </r>
    <r>
      <rPr>
        <sz val="10"/>
        <rFont val="Noto Sans CJK SC"/>
        <family val="2"/>
      </rPr>
      <t xml:space="preserve">이 퀘스트 풀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3~5</t>
    </r>
    <r>
      <rPr>
        <sz val="10"/>
        <rFont val="Noto Sans CJK SC"/>
        <family val="2"/>
      </rPr>
      <t xml:space="preserve">개를 고르고 각 퀘스트의 이유 한 줄을 생성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자유 텍스트 퀘스트 생성 금지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</si>
  <si>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출력 </t>
    </r>
    <r>
      <rPr>
        <sz val="10"/>
        <rFont val="Arial"/>
        <family val="0"/>
        <charset val="1"/>
      </rPr>
      <t xml:space="preserve">JSON {quest_id, reason} </t>
    </r>
    <r>
      <rPr>
        <sz val="10"/>
        <rFont val="Noto Sans CJK SC"/>
        <family val="2"/>
      </rPr>
      <t xml:space="preserve">스키마 </t>
    </r>
    <r>
      <rPr>
        <sz val="10"/>
        <rFont val="Arial"/>
        <family val="0"/>
        <charset val="1"/>
      </rPr>
      <t xml:space="preserve">Pydantic </t>
    </r>
    <r>
      <rPr>
        <sz val="10"/>
        <rFont val="Noto Sans CJK SC"/>
        <family val="2"/>
      </rPr>
      <t xml:space="preserve">검증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실패 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재시도 후 규칙 기반 폴백</t>
    </r>
    <r>
      <rPr>
        <sz val="10"/>
        <rFont val="Arial"/>
        <family val="0"/>
        <charset val="1"/>
      </rPr>
      <t xml:space="preserve">. temperature 0~0.3. </t>
    </r>
    <r>
      <rPr>
        <sz val="10"/>
        <rFont val="Noto Sans CJK SC"/>
        <family val="2"/>
      </rPr>
      <t xml:space="preserve">시스템 프롬프트 </t>
    </r>
    <r>
      <rPr>
        <sz val="10"/>
        <rFont val="Arial"/>
        <family val="0"/>
        <charset val="1"/>
      </rPr>
      <t xml:space="preserve">ai/prompts/daily_reco_v1.md </t>
    </r>
    <r>
      <rPr>
        <sz val="10"/>
        <rFont val="Noto Sans CJK SC"/>
        <family val="2"/>
      </rPr>
      <t xml:space="preserve">버전 관리</t>
    </r>
    <r>
      <rPr>
        <sz val="10"/>
        <rFont val="Arial"/>
        <family val="0"/>
        <charset val="1"/>
      </rPr>
      <t xml:space="preserve">.</t>
    </r>
  </si>
  <si>
    <t xml:space="preserve">F4</t>
  </si>
  <si>
    <r>
      <rPr>
        <sz val="10"/>
        <rFont val="Arial"/>
        <family val="0"/>
        <charset val="1"/>
      </rPr>
      <t xml:space="preserve">API Key 9/30 </t>
    </r>
    <r>
      <rPr>
        <sz val="10"/>
        <rFont val="Noto Sans CJK SC"/>
        <family val="2"/>
      </rPr>
      <t xml:space="preserve">제공 전까지 규칙 기반으로 개발</t>
    </r>
  </si>
  <si>
    <t xml:space="preserve">FR-RECO-02</t>
  </si>
  <si>
    <t xml:space="preserve">의학적 단정 표현 금지</t>
  </si>
  <si>
    <r>
      <rPr>
        <sz val="10"/>
        <rFont val="Noto Sans CJK SC"/>
        <family val="2"/>
      </rPr>
      <t xml:space="preserve">프롬프트에 금지 표현 목록 포함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출력 하단에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의료 조언이 아님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고지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</si>
  <si>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금지어 검사 테스트 통과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고지 문구 모든 퀘스트 카드에 표시</t>
    </r>
    <r>
      <rPr>
        <sz val="10"/>
        <rFont val="Arial"/>
        <family val="0"/>
        <charset val="1"/>
      </rPr>
      <t xml:space="preserve">.</t>
    </r>
  </si>
  <si>
    <t xml:space="preserve">FR-RECO-03</t>
  </si>
  <si>
    <t xml:space="preserve">폴백</t>
  </si>
  <si>
    <t xml:space="preserve">규칙 기반 퀘스트 세트</t>
  </si>
  <si>
    <r>
      <rPr>
        <sz val="10"/>
        <rFont val="Noto Sans CJK SC"/>
        <family val="2"/>
      </rPr>
      <t xml:space="preserve">질환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위험요인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보유 기기 조합별 기본 퀘스트 세트</t>
    </r>
    <r>
      <rPr>
        <sz val="10"/>
        <rFont val="Arial"/>
        <family val="0"/>
        <charset val="1"/>
      </rPr>
      <t xml:space="preserve">. LLM </t>
    </r>
    <r>
      <rPr>
        <sz val="10"/>
        <rFont val="Noto Sans CJK SC"/>
        <family val="2"/>
      </rPr>
      <t xml:space="preserve">없이도 서비스가 동작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</si>
  <si>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비활성 환경변수에서 </t>
    </r>
    <r>
      <rPr>
        <sz val="10"/>
        <rFont val="Arial"/>
        <family val="0"/>
        <charset val="1"/>
      </rPr>
      <t xml:space="preserve">06:00 </t>
    </r>
    <r>
      <rPr>
        <sz val="10"/>
        <rFont val="Noto Sans CJK SC"/>
        <family val="2"/>
      </rPr>
      <t xml:space="preserve">배치가 정상 완료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</si>
  <si>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리스크 </t>
    </r>
    <r>
      <rPr>
        <sz val="10"/>
        <rFont val="Arial"/>
        <family val="0"/>
        <charset val="1"/>
      </rPr>
      <t xml:space="preserve">R3</t>
    </r>
  </si>
  <si>
    <t xml:space="preserve">FR-NOTI-01</t>
  </si>
  <si>
    <t xml:space="preserve">알림</t>
  </si>
  <si>
    <r>
      <rPr>
        <sz val="10"/>
        <rFont val="Noto Sans CJK SC"/>
        <family val="2"/>
      </rPr>
      <t xml:space="preserve">웹 푸시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인앱 알림</t>
    </r>
  </si>
  <si>
    <r>
      <rPr>
        <sz val="10"/>
        <rFont val="Noto Sans CJK SC"/>
        <family val="2"/>
      </rPr>
      <t xml:space="preserve">아침 퀘스트 도착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저녁 미완료 리마인드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시들시들 경고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웹 푸시 구독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인앱 알림 센터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</si>
  <si>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알림 설정 </t>
    </r>
    <r>
      <rPr>
        <sz val="10"/>
        <rFont val="Arial"/>
        <family val="0"/>
        <charset val="1"/>
      </rPr>
      <t xml:space="preserve">on/off, </t>
    </r>
    <r>
      <rPr>
        <sz val="10"/>
        <rFont val="Noto Sans CJK SC"/>
        <family val="2"/>
      </rPr>
      <t xml:space="preserve">시간 설정</t>
    </r>
    <r>
      <rPr>
        <sz val="10"/>
        <rFont val="Arial"/>
        <family val="0"/>
        <charset val="1"/>
      </rPr>
      <t xml:space="preserve">. iOS Safari</t>
    </r>
    <r>
      <rPr>
        <sz val="10"/>
        <rFont val="Noto Sans CJK SC"/>
        <family val="2"/>
      </rPr>
      <t xml:space="preserve">는 홈 화면 설치 시에만 동작함을 안내</t>
    </r>
    <r>
      <rPr>
        <sz val="10"/>
        <rFont val="Arial"/>
        <family val="0"/>
        <charset val="1"/>
      </rPr>
      <t xml:space="preserve">.</t>
    </r>
  </si>
  <si>
    <t xml:space="preserve">F5</t>
  </si>
  <si>
    <t xml:space="preserve">sprint 5</t>
  </si>
  <si>
    <t xml:space="preserve">FR-DIET-01</t>
  </si>
  <si>
    <t xml:space="preserve">식단</t>
  </si>
  <si>
    <t xml:space="preserve">이미지 식단 분석</t>
  </si>
  <si>
    <r>
      <rPr>
        <sz val="10"/>
        <rFont val="Noto Sans CJK SC"/>
        <family val="2"/>
      </rPr>
      <t xml:space="preserve">식사 사진 → 음식 분류 → 식단 퀘스트 자동 완료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</si>
  <si>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10/14 </t>
    </r>
    <r>
      <rPr>
        <sz val="10"/>
        <rFont val="Noto Sans CJK SC"/>
        <family val="2"/>
      </rPr>
      <t xml:space="preserve">시점 필수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기능 연결 완료 시에만 착수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워커에서 추론</t>
    </r>
    <r>
      <rPr>
        <sz val="10"/>
        <rFont val="Arial"/>
        <family val="0"/>
        <charset val="1"/>
      </rPr>
      <t xml:space="preserve">.</t>
    </r>
  </si>
  <si>
    <t xml:space="preserve">F6</t>
  </si>
  <si>
    <r>
      <rPr>
        <sz val="10"/>
        <rFont val="Noto Sans CJK SC"/>
        <family val="2"/>
      </rPr>
      <t xml:space="preserve">공개 데이터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코드 있을 때만</t>
    </r>
  </si>
  <si>
    <t xml:space="preserve">NFR-01</t>
  </si>
  <si>
    <t xml:space="preserve">성능</t>
  </si>
  <si>
    <r>
      <rPr>
        <sz val="10"/>
        <rFont val="Arial"/>
        <family val="0"/>
        <charset val="1"/>
      </rPr>
      <t xml:space="preserve">API P95 3</t>
    </r>
    <r>
      <rPr>
        <sz val="10"/>
        <rFont val="Noto Sans CJK SC"/>
        <family val="2"/>
      </rPr>
      <t xml:space="preserve">초 이내</t>
    </r>
  </si>
  <si>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API P95 Latency 3</t>
    </r>
    <r>
      <rPr>
        <sz val="10"/>
        <rFont val="Noto Sans CJK SC"/>
        <family val="2"/>
      </rPr>
      <t xml:space="preserve">초 이내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무거운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작업은 </t>
    </r>
    <r>
      <rPr>
        <sz val="10"/>
        <rFont val="Arial"/>
        <family val="0"/>
        <charset val="1"/>
      </rPr>
      <t xml:space="preserve">Redis Stream </t>
    </r>
    <r>
      <rPr>
        <sz val="10"/>
        <rFont val="Noto Sans CJK SC"/>
        <family val="2"/>
      </rPr>
      <t xml:space="preserve">워커로 분리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</si>
  <si>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sprint 5</t>
    </r>
    <r>
      <rPr>
        <sz val="10"/>
        <rFont val="Noto Sans CJK SC"/>
        <family val="2"/>
      </rPr>
      <t xml:space="preserve">부터 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k6/locust </t>
    </r>
    <r>
      <rPr>
        <sz val="10"/>
        <rFont val="Noto Sans CJK SC"/>
        <family val="2"/>
      </rPr>
      <t xml:space="preserve">측정</t>
    </r>
    <r>
      <rPr>
        <sz val="10"/>
        <rFont val="Arial"/>
        <family val="0"/>
        <charset val="1"/>
      </rPr>
      <t xml:space="preserve">, docs/performance.md </t>
    </r>
    <r>
      <rPr>
        <sz val="10"/>
        <rFont val="Noto Sans CJK SC"/>
        <family val="2"/>
      </rPr>
      <t xml:space="preserve">기록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동기 블로킹</t>
    </r>
    <r>
      <rPr>
        <sz val="10"/>
        <rFont val="Arial"/>
        <family val="0"/>
        <charset val="1"/>
      </rPr>
      <t xml:space="preserve">·N+1·</t>
    </r>
    <r>
      <rPr>
        <sz val="10"/>
        <rFont val="Noto Sans CJK SC"/>
        <family val="2"/>
      </rPr>
      <t xml:space="preserve">요청 내 모델 로딩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</si>
  <si>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인프라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백엔드</t>
    </r>
  </si>
  <si>
    <t xml:space="preserve">NFR-02</t>
  </si>
  <si>
    <t xml:space="preserve">보안</t>
  </si>
  <si>
    <t xml:space="preserve">시크릿 분리</t>
  </si>
  <si>
    <r>
      <rPr>
        <sz val="10"/>
        <rFont val="Arial"/>
        <family val="0"/>
        <charset val="1"/>
      </rPr>
      <t xml:space="preserve">API Key·JWT </t>
    </r>
    <r>
      <rPr>
        <sz val="10"/>
        <rFont val="Noto Sans CJK SC"/>
        <family val="2"/>
      </rPr>
      <t xml:space="preserve">시크릿은 </t>
    </r>
    <r>
      <rPr>
        <sz val="10"/>
        <rFont val="Arial"/>
        <family val="0"/>
        <charset val="1"/>
      </rPr>
      <t xml:space="preserve">.env</t>
    </r>
    <r>
      <rPr>
        <sz val="10"/>
        <rFont val="Noto Sans CJK SC"/>
        <family val="2"/>
      </rPr>
      <t xml:space="preserve">로 분리</t>
    </r>
    <r>
      <rPr>
        <sz val="10"/>
        <rFont val="Arial"/>
        <family val="0"/>
        <charset val="1"/>
      </rPr>
      <t xml:space="preserve">, .gitignore </t>
    </r>
    <r>
      <rPr>
        <sz val="10"/>
        <rFont val="Noto Sans CJK SC"/>
        <family val="2"/>
      </rPr>
      <t xml:space="preserve">등록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코드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예시에 실제 키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</si>
  <si>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레포 검색 시 키 패턴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 .env.example</t>
    </r>
    <r>
      <rPr>
        <sz val="10"/>
        <rFont val="Noto Sans CJK SC"/>
        <family val="2"/>
      </rPr>
      <t xml:space="preserve">에 모든 키 더미값</t>
    </r>
    <r>
      <rPr>
        <sz val="10"/>
        <rFont val="Arial"/>
        <family val="0"/>
        <charset val="1"/>
      </rPr>
      <t xml:space="preserve">.</t>
    </r>
  </si>
  <si>
    <t xml:space="preserve">인프라</t>
  </si>
  <si>
    <t xml:space="preserve">NFR-03</t>
  </si>
  <si>
    <t xml:space="preserve">재현성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</si>
  <si>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재현성</t>
    </r>
  </si>
  <si>
    <r>
      <rPr>
        <sz val="10"/>
        <rFont val="Noto Sans CJK SC"/>
        <family val="2"/>
      </rPr>
      <t xml:space="preserve">학습 스크립트 </t>
    </r>
    <r>
      <rPr>
        <sz val="10"/>
        <rFont val="Arial"/>
        <family val="0"/>
        <charset val="1"/>
      </rPr>
      <t xml:space="preserve">--seed, </t>
    </r>
    <r>
      <rPr>
        <sz val="10"/>
        <rFont val="Noto Sans CJK SC"/>
        <family val="2"/>
      </rPr>
      <t xml:space="preserve">전처리 파이프라인 저장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재사용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모델 파일 버전 규칙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</si>
  <si>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동일 입력 → 동일 출력 테스트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이상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모델 파일명 </t>
    </r>
    <r>
      <rPr>
        <sz val="10"/>
        <rFont val="Arial"/>
        <family val="0"/>
        <charset val="1"/>
      </rPr>
      <t xml:space="preserve">&lt;</t>
    </r>
    <r>
      <rPr>
        <sz val="10"/>
        <rFont val="Noto Sans CJK SC"/>
        <family val="2"/>
      </rPr>
      <t xml:space="preserve">질환</t>
    </r>
    <r>
      <rPr>
        <sz val="10"/>
        <rFont val="Arial"/>
        <family val="0"/>
        <charset val="1"/>
      </rPr>
      <t xml:space="preserve">&gt;_&lt;</t>
    </r>
    <r>
      <rPr>
        <sz val="10"/>
        <rFont val="Noto Sans CJK SC"/>
        <family val="2"/>
      </rPr>
      <t xml:space="preserve">모델</t>
    </r>
    <r>
      <rPr>
        <sz val="10"/>
        <rFont val="Arial"/>
        <family val="0"/>
        <charset val="1"/>
      </rPr>
      <t xml:space="preserve">&gt;_v&lt;</t>
    </r>
    <r>
      <rPr>
        <sz val="10"/>
        <rFont val="Noto Sans CJK SC"/>
        <family val="2"/>
      </rPr>
      <t xml:space="preserve">버전</t>
    </r>
    <r>
      <rPr>
        <sz val="10"/>
        <rFont val="Arial"/>
        <family val="0"/>
        <charset val="1"/>
      </rPr>
      <t xml:space="preserve">&gt;_&lt;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&gt;.</t>
    </r>
  </si>
  <si>
    <t xml:space="preserve">NFR-04</t>
  </si>
  <si>
    <t xml:space="preserve">접근성</t>
  </si>
  <si>
    <r>
      <rPr>
        <sz val="10"/>
        <rFont val="Noto Sans CJK SC"/>
        <family val="2"/>
      </rPr>
      <t xml:space="preserve">모바일 우선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접근성</t>
    </r>
  </si>
  <si>
    <r>
      <rPr>
        <sz val="10"/>
        <rFont val="Arial"/>
        <family val="0"/>
        <charset val="1"/>
      </rPr>
      <t xml:space="preserve">390px </t>
    </r>
    <r>
      <rPr>
        <sz val="10"/>
        <rFont val="Noto Sans CJK SC"/>
        <family val="2"/>
      </rPr>
      <t xml:space="preserve">기준 반응형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aria-label, </t>
    </r>
    <r>
      <rPr>
        <sz val="10"/>
        <rFont val="Noto Sans CJK SC"/>
        <family val="2"/>
      </rPr>
      <t xml:space="preserve">색만으로 상태 구분 금지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</si>
  <si>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핵심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목표 로그인 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클릭 이내</t>
    </r>
    <r>
      <rPr>
        <sz val="10"/>
        <rFont val="Arial"/>
        <family val="0"/>
        <charset val="1"/>
      </rPr>
      <t xml:space="preserve">(S5 </t>
    </r>
    <r>
      <rPr>
        <sz val="10"/>
        <rFont val="Noto Sans CJK SC"/>
        <family val="2"/>
      </rPr>
      <t xml:space="preserve">회고에서 측정</t>
    </r>
    <r>
      <rPr>
        <sz val="10"/>
        <rFont val="Arial"/>
        <family val="0"/>
        <charset val="1"/>
      </rPr>
      <t xml:space="preserve">).</t>
    </r>
  </si>
  <si>
    <t xml:space="preserve">단계</t>
  </si>
  <si>
    <t xml:space="preserve">항목</t>
  </si>
  <si>
    <t xml:space="preserve">입력 형태</t>
  </si>
  <si>
    <r>
      <rPr>
        <b val="true"/>
        <sz val="10"/>
        <color rgb="FFFFFFFF"/>
        <rFont val="Noto Sans CJK SC"/>
        <family val="2"/>
      </rPr>
      <t xml:space="preserve">값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범위</t>
    </r>
  </si>
  <si>
    <r>
      <rPr>
        <b val="true"/>
        <sz val="10"/>
        <color rgb="FFFFFFFF"/>
        <rFont val="Noto Sans CJK SC"/>
        <family val="2"/>
      </rPr>
      <t xml:space="preserve">저장 위치</t>
    </r>
    <r>
      <rPr>
        <b val="true"/>
        <sz val="10"/>
        <color rgb="FFFFFFFF"/>
        <rFont val="Arial"/>
        <family val="0"/>
        <charset val="1"/>
      </rPr>
      <t xml:space="preserve">(ERD)</t>
    </r>
  </si>
  <si>
    <t xml:space="preserve">쓰이는 곳</t>
  </si>
  <si>
    <r>
      <rPr>
        <b val="true"/>
        <sz val="10"/>
        <color rgb="FFFFFFFF"/>
        <rFont val="Noto Sans CJK SC"/>
        <family val="2"/>
      </rPr>
      <t xml:space="preserve">관련 </t>
    </r>
    <r>
      <rPr>
        <b val="true"/>
        <sz val="10"/>
        <color rgb="FFFFFFFF"/>
        <rFont val="Arial"/>
        <family val="0"/>
        <charset val="1"/>
      </rPr>
      <t xml:space="preserve">FR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</si>
  <si>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계정</t>
    </r>
  </si>
  <si>
    <r>
      <rPr>
        <sz val="10"/>
        <rFont val="Noto Sans CJK SC"/>
        <family val="2"/>
      </rPr>
      <t xml:space="preserve">이메일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비밀번호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닉네임</t>
    </r>
  </si>
  <si>
    <t xml:space="preserve">텍스트</t>
  </si>
  <si>
    <r>
      <rPr>
        <sz val="10"/>
        <rFont val="Noto Sans CJK SC"/>
        <family val="2"/>
      </rPr>
      <t xml:space="preserve">이메일 형식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비밀번호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자 이상</t>
    </r>
  </si>
  <si>
    <t xml:space="preserve">users</t>
  </si>
  <si>
    <t xml:space="preserve">체크</t>
  </si>
  <si>
    <t xml:space="preserve">예</t>
  </si>
  <si>
    <t xml:space="preserve">users.consented_at</t>
  </si>
  <si>
    <t xml:space="preserve">R7</t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</si>
  <si>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신체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생활습관</t>
    </r>
  </si>
  <si>
    <r>
      <rPr>
        <sz val="10"/>
        <rFont val="Noto Sans CJK SC"/>
        <family val="2"/>
      </rPr>
      <t xml:space="preserve">생년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성별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몸무게</t>
    </r>
  </si>
  <si>
    <r>
      <rPr>
        <sz val="10"/>
        <rFont val="Noto Sans CJK SC"/>
        <family val="2"/>
      </rPr>
      <t xml:space="preserve">숫자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선택</t>
    </r>
  </si>
  <si>
    <r>
      <rPr>
        <sz val="10"/>
        <rFont val="Noto Sans CJK SC"/>
        <family val="2"/>
      </rPr>
      <t xml:space="preserve">키 </t>
    </r>
    <r>
      <rPr>
        <sz val="10"/>
        <rFont val="Arial"/>
        <family val="0"/>
        <charset val="1"/>
      </rPr>
      <t xml:space="preserve">100~250cm, </t>
    </r>
    <r>
      <rPr>
        <sz val="10"/>
        <rFont val="Noto Sans CJK SC"/>
        <family val="2"/>
      </rPr>
      <t xml:space="preserve">몸무게 </t>
    </r>
    <r>
      <rPr>
        <sz val="10"/>
        <rFont val="Arial"/>
        <family val="0"/>
        <charset val="1"/>
      </rPr>
      <t xml:space="preserve">20~300kg</t>
    </r>
  </si>
  <si>
    <t xml:space="preserve">health_profiles</t>
  </si>
  <si>
    <r>
      <rPr>
        <sz val="10"/>
        <rFont val="Arial"/>
        <family val="0"/>
        <charset val="1"/>
      </rPr>
      <t xml:space="preserve">BMI, </t>
    </r>
    <r>
      <rPr>
        <sz val="10"/>
        <rFont val="Noto Sans CJK SC"/>
        <family val="2"/>
      </rPr>
      <t xml:space="preserve">모델 피처</t>
    </r>
  </si>
  <si>
    <t xml:space="preserve">허리둘레</t>
  </si>
  <si>
    <t xml:space="preserve">숫자</t>
  </si>
  <si>
    <t xml:space="preserve">40~200cm</t>
  </si>
  <si>
    <t xml:space="preserve">health_profiles.waist / health_records</t>
  </si>
  <si>
    <r>
      <rPr>
        <sz val="10"/>
        <rFont val="Noto Sans CJK SC"/>
        <family val="2"/>
      </rPr>
      <t xml:space="preserve">대사증후군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모델 피처</t>
    </r>
  </si>
  <si>
    <r>
      <rPr>
        <sz val="10"/>
        <rFont val="Noto Sans CJK SC"/>
        <family val="2"/>
      </rPr>
      <t xml:space="preserve">흡연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음주 빈도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운동 빈도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수면시간</t>
    </r>
  </si>
  <si>
    <r>
      <rPr>
        <sz val="10"/>
        <rFont val="Arial"/>
        <family val="0"/>
        <charset val="1"/>
      </rPr>
      <t xml:space="preserve">KNHANES </t>
    </r>
    <r>
      <rPr>
        <sz val="10"/>
        <rFont val="Noto Sans CJK SC"/>
        <family val="2"/>
      </rPr>
      <t xml:space="preserve">코딩과 동일</t>
    </r>
  </si>
  <si>
    <r>
      <rPr>
        <sz val="10"/>
        <rFont val="Noto Sans CJK SC"/>
        <family val="2"/>
      </rPr>
      <t xml:space="preserve">모델 피처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초기 생활습관 점수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</si>
  <si>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질환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가족력</t>
    </r>
  </si>
  <si>
    <t xml:space="preserve">진단 질환</t>
  </si>
  <si>
    <t xml:space="preserve">다중 선택</t>
  </si>
  <si>
    <t xml:space="preserve">hypertension, diabetes, dyslipidemia, ckd, fatty_liver, none</t>
  </si>
  <si>
    <t xml:space="preserve">user_conditions</t>
  </si>
  <si>
    <r>
      <rPr>
        <sz val="10"/>
        <rFont val="Noto Sans CJK SC"/>
        <family val="2"/>
      </rPr>
      <t xml:space="preserve">모드 분기</t>
    </r>
    <r>
      <rPr>
        <sz val="10"/>
        <rFont val="Arial"/>
        <family val="0"/>
        <charset val="1"/>
      </rPr>
      <t xml:space="preserve">, LLM </t>
    </r>
    <r>
      <rPr>
        <sz val="10"/>
        <rFont val="Noto Sans CJK SC"/>
        <family val="2"/>
      </rPr>
      <t xml:space="preserve">근거</t>
    </r>
  </si>
  <si>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아니오</t>
    </r>
  </si>
  <si>
    <t xml:space="preserve">health_profiles.is_prestage</t>
  </si>
  <si>
    <t xml:space="preserve">홈 카드 문구</t>
  </si>
  <si>
    <r>
      <rPr>
        <sz val="10"/>
        <rFont val="Noto Sans CJK SC"/>
        <family val="2"/>
      </rPr>
      <t xml:space="preserve">혈압약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당뇨약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지질약</t>
    </r>
  </si>
  <si>
    <t xml:space="preserve">health_profiles.medications</t>
  </si>
  <si>
    <t xml:space="preserve">기록만</t>
  </si>
  <si>
    <t xml:space="preserve">가족력</t>
  </si>
  <si>
    <t xml:space="preserve">hypertension, diabetes, heart, kidney, none</t>
  </si>
  <si>
    <t xml:space="preserve">health_profiles.family_history</t>
  </si>
  <si>
    <t xml:space="preserve">모델 피처</t>
  </si>
  <si>
    <r>
      <rPr>
        <sz val="10"/>
        <rFont val="Noto Sans CJK SC"/>
        <family val="2"/>
      </rPr>
      <t xml:space="preserve">최근 혈압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공복혈당</t>
    </r>
  </si>
  <si>
    <r>
      <rPr>
        <sz val="10"/>
        <rFont val="Noto Sans CJK SC"/>
        <family val="2"/>
      </rPr>
      <t xml:space="preserve">혈압 </t>
    </r>
    <r>
      <rPr>
        <sz val="10"/>
        <rFont val="Arial"/>
        <family val="0"/>
        <charset val="1"/>
      </rPr>
      <t xml:space="preserve">50~250, </t>
    </r>
    <r>
      <rPr>
        <sz val="10"/>
        <rFont val="Noto Sans CJK SC"/>
        <family val="2"/>
      </rPr>
      <t xml:space="preserve">혈당 </t>
    </r>
    <r>
      <rPr>
        <sz val="10"/>
        <rFont val="Arial"/>
        <family val="0"/>
        <charset val="1"/>
      </rPr>
      <t xml:space="preserve">30~600</t>
    </r>
  </si>
  <si>
    <t xml:space="preserve">health_records (source=manual)</t>
  </si>
  <si>
    <r>
      <rPr>
        <sz val="10"/>
        <rFont val="Noto Sans CJK SC"/>
        <family val="2"/>
      </rPr>
      <t xml:space="preserve">상태 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대시보드 시작값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모델 입력 아님</t>
    </r>
    <r>
      <rPr>
        <sz val="10"/>
        <rFont val="Arial"/>
        <family val="0"/>
        <charset val="1"/>
      </rPr>
      <t xml:space="preserve">)</t>
    </r>
  </si>
  <si>
    <t xml:space="preserve">최근 검진 결과</t>
  </si>
  <si>
    <r>
      <rPr>
        <sz val="10"/>
        <rFont val="Arial"/>
        <family val="0"/>
        <charset val="1"/>
      </rPr>
      <t xml:space="preserve">LDL·HDL·TG·HbA1c·Cr + </t>
    </r>
    <r>
      <rPr>
        <sz val="10"/>
        <rFont val="Noto Sans CJK SC"/>
        <family val="2"/>
      </rPr>
      <t xml:space="preserve">검진일</t>
    </r>
  </si>
  <si>
    <t xml:space="preserve">health_records (lab_result)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</si>
  <si>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등급 추이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</si>
  <si>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기기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워치</t>
    </r>
  </si>
  <si>
    <t xml:space="preserve">보유 의료기기</t>
  </si>
  <si>
    <t xml:space="preserve">bp_monitor, glucometer, cgm, scale, smart_scale, tape, urine_strip, pulse_oximeter, none</t>
  </si>
  <si>
    <t xml:space="preserve">user_devices</t>
  </si>
  <si>
    <r>
      <rPr>
        <sz val="10"/>
        <rFont val="Noto Sans CJK SC"/>
        <family val="2"/>
      </rPr>
      <t xml:space="preserve">기록형 퀘스트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지표 활성화</t>
    </r>
  </si>
  <si>
    <t xml:space="preserve">FR-USER-11, FR-CHAL-04</t>
  </si>
  <si>
    <r>
      <rPr>
        <sz val="10"/>
        <rFont val="Noto Sans CJK SC"/>
        <family val="2"/>
      </rPr>
      <t xml:space="preserve">워치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밴드</t>
    </r>
  </si>
  <si>
    <t xml:space="preserve">단일 선택</t>
  </si>
  <si>
    <t xml:space="preserve">galaxy_watch, apple_watch, other, none</t>
  </si>
  <si>
    <t xml:space="preserve">users.wearable_type</t>
  </si>
  <si>
    <r>
      <rPr>
        <sz val="10"/>
        <rFont val="Noto Sans CJK SC"/>
        <family val="2"/>
      </rPr>
      <t xml:space="preserve">걷기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 검증 방식</t>
    </r>
  </si>
  <si>
    <t xml:space="preserve">폰 걸음 수 사용</t>
  </si>
  <si>
    <t xml:space="preserve">users.use_phone_steps</t>
  </si>
  <si>
    <t xml:space="preserve">걷기 퀘스트 검증</t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</si>
  <si>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캐릭터</t>
    </r>
  </si>
  <si>
    <t xml:space="preserve">공룡 선택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</si>
  <si>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종</t>
    </r>
  </si>
  <si>
    <t xml:space="preserve">characters.species</t>
  </si>
  <si>
    <r>
      <rPr>
        <b val="true"/>
        <sz val="10"/>
        <color rgb="FFFFFFFF"/>
        <rFont val="Noto Sans CJK SC"/>
        <family val="2"/>
      </rPr>
      <t xml:space="preserve">보유 기기</t>
    </r>
    <r>
      <rPr>
        <b val="true"/>
        <sz val="10"/>
        <color rgb="FFFFFFFF"/>
        <rFont val="Arial"/>
        <family val="0"/>
        <charset val="1"/>
      </rPr>
      <t xml:space="preserve">(device_type)</t>
    </r>
  </si>
  <si>
    <r>
      <rPr>
        <b val="true"/>
        <sz val="10"/>
        <color rgb="FFFFFFFF"/>
        <rFont val="Noto Sans CJK SC"/>
        <family val="2"/>
      </rPr>
      <t xml:space="preserve">활성화 </t>
    </r>
    <r>
      <rPr>
        <b val="true"/>
        <sz val="10"/>
        <color rgb="FFFFFFFF"/>
        <rFont val="Arial"/>
        <family val="0"/>
        <charset val="1"/>
      </rPr>
      <t xml:space="preserve">record_type</t>
    </r>
  </si>
  <si>
    <t xml:space="preserve">켜지는 기록형 퀘스트</t>
  </si>
  <si>
    <t xml:space="preserve">주기</t>
  </si>
  <si>
    <t xml:space="preserve">대시보드 지표</t>
  </si>
  <si>
    <r>
      <rPr>
        <b val="true"/>
        <sz val="10"/>
        <color rgb="FFFFFFFF"/>
        <rFont val="Noto Sans CJK SC"/>
        <family val="2"/>
      </rPr>
      <t xml:space="preserve">기기 없을 때 대체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체크형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</si>
  <si>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bp_monitor </t>
    </r>
    <r>
      <rPr>
        <sz val="10"/>
        <rFont val="Noto Sans CJK SC"/>
        <family val="2"/>
      </rPr>
      <t xml:space="preserve">혈압계</t>
    </r>
  </si>
  <si>
    <t xml:space="preserve">blood_pressure</t>
  </si>
  <si>
    <t xml:space="preserve">아침 혈압 재기</t>
  </si>
  <si>
    <t xml:space="preserve">daily</t>
  </si>
  <si>
    <r>
      <rPr>
        <sz val="10"/>
        <rFont val="Noto Sans CJK SC"/>
        <family val="2"/>
      </rPr>
      <t xml:space="preserve">혈압 추이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상태 밴드</t>
    </r>
  </si>
  <si>
    <t xml:space="preserve">저염 식사 체크</t>
  </si>
  <si>
    <r>
      <rPr>
        <sz val="10"/>
        <rFont val="Arial"/>
        <family val="0"/>
        <charset val="1"/>
      </rPr>
      <t xml:space="preserve">glucometer </t>
    </r>
    <r>
      <rPr>
        <sz val="10"/>
        <rFont val="Noto Sans CJK SC"/>
        <family val="2"/>
      </rPr>
      <t xml:space="preserve">혈당계</t>
    </r>
  </si>
  <si>
    <t xml:space="preserve">fasting_glucose, postprandial_glucose</t>
  </si>
  <si>
    <r>
      <rPr>
        <sz val="10"/>
        <rFont val="Noto Sans CJK SC"/>
        <family val="2"/>
      </rPr>
      <t xml:space="preserve">공복 혈당 재기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식후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시간 혈당</t>
    </r>
  </si>
  <si>
    <r>
      <rPr>
        <sz val="10"/>
        <rFont val="Noto Sans CJK SC"/>
        <family val="2"/>
      </rPr>
      <t xml:space="preserve">혈당 추이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상태 밴드</t>
    </r>
  </si>
  <si>
    <r>
      <rPr>
        <sz val="10"/>
        <rFont val="Noto Sans CJK SC"/>
        <family val="2"/>
      </rPr>
      <t xml:space="preserve">식후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분 걷기 체크</t>
    </r>
  </si>
  <si>
    <t xml:space="preserve">cgm CGM</t>
  </si>
  <si>
    <r>
      <rPr>
        <sz val="10"/>
        <rFont val="Arial"/>
        <family val="0"/>
        <charset val="1"/>
      </rPr>
      <t xml:space="preserve">glucose_cgm (</t>
    </r>
    <r>
      <rPr>
        <sz val="10"/>
        <rFont val="Noto Sans CJK SC"/>
        <family val="2"/>
      </rPr>
      <t xml:space="preserve">일 평균</t>
    </r>
    <r>
      <rPr>
        <sz val="10"/>
        <rFont val="Arial"/>
        <family val="0"/>
        <charset val="1"/>
      </rPr>
      <t xml:space="preserve">·TIR)</t>
    </r>
  </si>
  <si>
    <t xml:space="preserve">혈당계 퀘스트 대체</t>
  </si>
  <si>
    <r>
      <rPr>
        <sz val="10"/>
        <rFont val="Arial"/>
        <family val="0"/>
        <charset val="1"/>
      </rPr>
      <t xml:space="preserve">TIR </t>
    </r>
    <r>
      <rPr>
        <sz val="10"/>
        <rFont val="Noto Sans CJK SC"/>
        <family val="2"/>
      </rPr>
      <t xml:space="preserve">추이</t>
    </r>
  </si>
  <si>
    <t xml:space="preserve">—</t>
  </si>
  <si>
    <r>
      <rPr>
        <sz val="10"/>
        <rFont val="Arial"/>
        <family val="0"/>
        <charset val="1"/>
      </rPr>
      <t xml:space="preserve">scale / smart_scale </t>
    </r>
    <r>
      <rPr>
        <sz val="10"/>
        <rFont val="Noto Sans CJK SC"/>
        <family val="2"/>
      </rPr>
      <t xml:space="preserve">체중계</t>
    </r>
  </si>
  <si>
    <t xml:space="preserve">weight, body_fat</t>
  </si>
  <si>
    <t xml:space="preserve">아침 체중 재기</t>
  </si>
  <si>
    <r>
      <rPr>
        <sz val="10"/>
        <rFont val="Noto Sans CJK SC"/>
        <family val="2"/>
      </rPr>
      <t xml:space="preserve">체중</t>
    </r>
    <r>
      <rPr>
        <sz val="10"/>
        <rFont val="Arial"/>
        <family val="0"/>
        <charset val="1"/>
      </rPr>
      <t xml:space="preserve">·BMI </t>
    </r>
    <r>
      <rPr>
        <sz val="10"/>
        <rFont val="Noto Sans CJK SC"/>
        <family val="2"/>
      </rPr>
      <t xml:space="preserve">추이</t>
    </r>
  </si>
  <si>
    <t xml:space="preserve">간식 줄이기 체크</t>
  </si>
  <si>
    <r>
      <rPr>
        <sz val="10"/>
        <rFont val="Arial"/>
        <family val="0"/>
        <charset val="1"/>
      </rPr>
      <t xml:space="preserve">tape </t>
    </r>
    <r>
      <rPr>
        <sz val="10"/>
        <rFont val="Noto Sans CJK SC"/>
        <family val="2"/>
      </rPr>
      <t xml:space="preserve">줄자</t>
    </r>
  </si>
  <si>
    <t xml:space="preserve">waist</t>
  </si>
  <si>
    <t xml:space="preserve">허리둘레 재기</t>
  </si>
  <si>
    <t xml:space="preserve">weekly</t>
  </si>
  <si>
    <t xml:space="preserve">대사증후군 기준</t>
  </si>
  <si>
    <r>
      <rPr>
        <sz val="10"/>
        <rFont val="Arial"/>
        <family val="0"/>
        <charset val="1"/>
      </rPr>
      <t xml:space="preserve">urine_strip </t>
    </r>
    <r>
      <rPr>
        <sz val="10"/>
        <rFont val="Noto Sans CJK SC"/>
        <family val="2"/>
      </rPr>
      <t xml:space="preserve">소변 스틱</t>
    </r>
  </si>
  <si>
    <t xml:space="preserve">urine_protein, urine_glucose</t>
  </si>
  <si>
    <t xml:space="preserve">첫 아침 소변 스틱</t>
  </si>
  <si>
    <r>
      <rPr>
        <sz val="10"/>
        <rFont val="Noto Sans CJK SC"/>
        <family val="2"/>
      </rPr>
      <t xml:space="preserve">단백뇨 월 추이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연속 양성 시 검진 안내</t>
    </r>
  </si>
  <si>
    <r>
      <rPr>
        <sz val="10"/>
        <rFont val="Arial"/>
        <family val="0"/>
        <charset val="1"/>
      </rPr>
      <t xml:space="preserve">pulse_oximeter / </t>
    </r>
    <r>
      <rPr>
        <sz val="10"/>
        <rFont val="Noto Sans CJK SC"/>
        <family val="2"/>
      </rPr>
      <t xml:space="preserve">워치</t>
    </r>
  </si>
  <si>
    <t xml:space="preserve">spo2, resting_hr</t>
  </si>
  <si>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보조 지표</t>
    </r>
    <r>
      <rPr>
        <sz val="10"/>
        <rFont val="Arial"/>
        <family val="0"/>
        <charset val="1"/>
      </rPr>
      <t xml:space="preserve">)</t>
    </r>
  </si>
  <si>
    <t xml:space="preserve">보조 지표</t>
  </si>
  <si>
    <r>
      <rPr>
        <sz val="10"/>
        <rFont val="Noto Sans CJK SC"/>
        <family val="2"/>
      </rPr>
      <t xml:space="preserve">워치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밴드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폰 걸음</t>
    </r>
  </si>
  <si>
    <t xml:space="preserve">steps, sleep</t>
  </si>
  <si>
    <r>
      <rPr>
        <sz val="10"/>
        <rFont val="Noto Sans CJK SC"/>
        <family val="2"/>
      </rPr>
      <t xml:space="preserve">걷기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 퀘스트가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수치 입력형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전환</t>
    </r>
  </si>
  <si>
    <r>
      <rPr>
        <sz val="10"/>
        <rFont val="Noto Sans CJK SC"/>
        <family val="2"/>
      </rPr>
      <t xml:space="preserve">활동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 추이</t>
    </r>
  </si>
  <si>
    <r>
      <rPr>
        <sz val="10"/>
        <rFont val="Noto Sans CJK SC"/>
        <family val="2"/>
      </rPr>
      <t xml:space="preserve">걷기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 체크 </t>
    </r>
    <r>
      <rPr>
        <sz val="10"/>
        <rFont val="Arial"/>
        <family val="0"/>
        <charset val="1"/>
      </rPr>
      <t xml:space="preserve">/ 23</t>
    </r>
    <r>
      <rPr>
        <sz val="10"/>
        <rFont val="Noto Sans CJK SC"/>
        <family val="2"/>
      </rPr>
      <t xml:space="preserve">시 전 취침 체크</t>
    </r>
  </si>
  <si>
    <r>
      <rPr>
        <sz val="10"/>
        <rFont val="Arial"/>
        <family val="0"/>
        <charset val="1"/>
      </rPr>
      <t xml:space="preserve">none </t>
    </r>
    <r>
      <rPr>
        <sz val="10"/>
        <rFont val="Noto Sans CJK SC"/>
        <family val="2"/>
      </rPr>
      <t xml:space="preserve">없음</t>
    </r>
  </si>
  <si>
    <t xml:space="preserve">자기 보고 체크형만</t>
  </si>
  <si>
    <r>
      <rPr>
        <sz val="10"/>
        <rFont val="Noto Sans CJK SC"/>
        <family val="2"/>
      </rPr>
      <t xml:space="preserve">위험도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달성 통계만</t>
    </r>
  </si>
  <si>
    <t xml:space="preserve">전부 체크형</t>
  </si>
  <si>
    <t xml:space="preserve">기업 요구사항</t>
  </si>
  <si>
    <t xml:space="preserve">기획 기능</t>
  </si>
  <si>
    <r>
      <rPr>
        <b val="true"/>
        <sz val="10"/>
        <color rgb="FFFFFFFF"/>
        <rFont val="Noto Sans CJK SC"/>
        <family val="2"/>
      </rPr>
      <t xml:space="preserve">매핑 </t>
    </r>
    <r>
      <rPr>
        <b val="true"/>
        <sz val="10"/>
        <color rgb="FFFFFFFF"/>
        <rFont val="Arial"/>
        <family val="0"/>
        <charset val="1"/>
      </rPr>
      <t xml:space="preserve">FR</t>
    </r>
  </si>
  <si>
    <t xml:space="preserve">판정</t>
  </si>
  <si>
    <r>
      <rPr>
        <sz val="10"/>
        <rFont val="Noto Sans CJK SC"/>
        <family val="2"/>
      </rPr>
      <t xml:space="preserve">① 만성질환 예측 모델링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공개 데이터셋 기반</t>
    </r>
    <r>
      <rPr>
        <sz val="10"/>
        <rFont val="Arial"/>
        <family val="0"/>
        <charset val="1"/>
      </rPr>
      <t xml:space="preserve">)</t>
    </r>
  </si>
  <si>
    <t xml:space="preserve">FR-PRED-01 ~ 08, NFR-03</t>
  </si>
  <si>
    <t xml:space="preserve">일치</t>
  </si>
  <si>
    <r>
      <rPr>
        <sz val="10"/>
        <rFont val="Noto Sans CJK SC"/>
        <family val="2"/>
      </rPr>
      <t xml:space="preserve">② 만성질환 추적 대시보드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변화 추이 시각화</t>
    </r>
    <r>
      <rPr>
        <sz val="10"/>
        <rFont val="Arial"/>
        <family val="0"/>
        <charset val="1"/>
      </rPr>
      <t xml:space="preserve">)</t>
    </r>
  </si>
  <si>
    <t xml:space="preserve">FR-DASH-01 ~ 06, FR-USER-13</t>
  </si>
  <si>
    <t xml:space="preserve">③ 생활습관 챌린지</t>
  </si>
  <si>
    <t xml:space="preserve">FR-CHAL-01 ~ 06, FR-CHAR-02</t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</si>
  <si>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기반 예방 행동 추천</t>
    </r>
  </si>
  <si>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확정</t>
    </r>
    <r>
      <rPr>
        <sz val="10"/>
        <rFont val="Arial"/>
        <family val="0"/>
        <charset val="1"/>
      </rPr>
      <t xml:space="preserve">)</t>
    </r>
  </si>
  <si>
    <t xml:space="preserve">FR-RECO-01 ~ 03</t>
  </si>
  <si>
    <t xml:space="preserve">알림 기능</t>
  </si>
  <si>
    <t xml:space="preserve">이미지 분류 기반 식단 분석</t>
  </si>
  <si>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여유 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</si>
  <si>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10/14 </t>
    </r>
    <r>
      <rPr>
        <sz val="10"/>
        <rFont val="Noto Sans CJK SC"/>
        <family val="2"/>
      </rPr>
      <t xml:space="preserve">판단</t>
    </r>
  </si>
  <si>
    <t xml:space="preserve">웹 서비스</t>
  </si>
  <si>
    <t xml:space="preserve">제약</t>
  </si>
  <si>
    <t xml:space="preserve">PWA</t>
  </si>
  <si>
    <r>
      <rPr>
        <sz val="10"/>
        <rFont val="Noto Sans CJK SC"/>
        <family val="2"/>
      </rPr>
      <t xml:space="preserve">일치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네이티브 앱 아님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</si>
</sst>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4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4" t="s">
        <v>12</v>
      </c>
    </row>
    <row r="8" customFormat="false" ht="15" hidden="false" customHeight="false" outlineLevel="0" collapsed="false">
      <c r="A8" s="2" t="s">
        <v>13</v>
      </c>
      <c r="B8" s="4" t="s">
        <v>14</v>
      </c>
    </row>
    <row r="9" customFormat="false" ht="15" hidden="false" customHeight="false" outlineLevel="0" collapsed="false">
      <c r="A9" s="2" t="s">
        <v>15</v>
      </c>
      <c r="B9" s="3" t="s">
        <v>16</v>
      </c>
    </row>
    <row r="10" customFormat="false" ht="29.85" hidden="false" customHeight="false" outlineLevel="0" collapsed="false">
      <c r="A10" s="2" t="s">
        <v>17</v>
      </c>
      <c r="B10" s="3" t="s">
        <v>18</v>
      </c>
    </row>
    <row r="11" customFormat="false" ht="15" hidden="false" customHeight="false" outlineLevel="0" collapsed="false">
      <c r="A11" s="2"/>
      <c r="B11" s="3"/>
    </row>
    <row r="12" customFormat="false" ht="15" hidden="false" customHeight="false" outlineLevel="0" collapsed="false">
      <c r="A12" s="5" t="s">
        <v>19</v>
      </c>
      <c r="B12" s="3" t="s">
        <v>20</v>
      </c>
    </row>
    <row r="13" customFormat="false" ht="29.85" hidden="false" customHeight="false" outlineLevel="0" collapsed="false">
      <c r="A13" s="2" t="s">
        <v>21</v>
      </c>
      <c r="B13" s="4" t="s">
        <v>22</v>
      </c>
    </row>
    <row r="14" customFormat="false" ht="15" hidden="false" customHeight="false" outlineLevel="0" collapsed="false">
      <c r="A14" s="2" t="s">
        <v>23</v>
      </c>
      <c r="B14" s="3" t="s">
        <v>24</v>
      </c>
    </row>
    <row r="15" customFormat="false" ht="15" hidden="false" customHeight="false" outlineLevel="0" collapsed="false">
      <c r="A15" s="2" t="s">
        <v>25</v>
      </c>
      <c r="B15" s="3" t="s">
        <v>26</v>
      </c>
    </row>
    <row r="16" customFormat="false" ht="15" hidden="false" customHeight="false" outlineLevel="0" collapsed="false">
      <c r="A16" s="2" t="s">
        <v>27</v>
      </c>
      <c r="B16" s="3" t="s">
        <v>28</v>
      </c>
    </row>
    <row r="17" customFormat="false" ht="15" hidden="false" customHeight="false" outlineLevel="0" collapsed="false">
      <c r="A17" s="2"/>
      <c r="B17" s="3"/>
    </row>
    <row r="18" customFormat="false" ht="17.15" hidden="false" customHeight="false" outlineLevel="0" collapsed="false">
      <c r="A18" s="6" t="s">
        <v>29</v>
      </c>
      <c r="B18" s="3"/>
    </row>
    <row r="19" customFormat="false" ht="15" hidden="false" customHeight="false" outlineLevel="0" collapsed="false">
      <c r="A19" s="2" t="s">
        <v>30</v>
      </c>
      <c r="B19" s="3" t="n">
        <f aca="false">COUNTIF(요구사항!B:B,"기능")</f>
        <v>49</v>
      </c>
    </row>
    <row r="20" customFormat="false" ht="15" hidden="false" customHeight="false" outlineLevel="0" collapsed="false">
      <c r="A20" s="2" t="s">
        <v>31</v>
      </c>
      <c r="B20" s="3" t="n">
        <f aca="false">COUNTIF(요구사항!B:B,"비기능")</f>
        <v>6</v>
      </c>
    </row>
    <row r="21" customFormat="false" ht="15" hidden="false" customHeight="false" outlineLevel="0" collapsed="false">
      <c r="A21" s="2" t="s">
        <v>32</v>
      </c>
      <c r="B21" s="3" t="n">
        <f aca="false">COUNTIF(요구사항!F:F,"필수")</f>
        <v>41</v>
      </c>
    </row>
    <row r="22" customFormat="false" ht="15" hidden="false" customHeight="false" outlineLevel="0" collapsed="false">
      <c r="A22" s="2" t="s">
        <v>33</v>
      </c>
      <c r="B22" s="3" t="n">
        <f aca="false">COUNTIF(요구사항!F:F,"선택")</f>
        <v>11</v>
      </c>
    </row>
    <row r="23" customFormat="false" ht="15" hidden="false" customHeight="false" outlineLevel="0" collapsed="false">
      <c r="A23" s="2" t="s">
        <v>34</v>
      </c>
      <c r="B23" s="3" t="n">
        <f aca="false">COUNTIF(요구사항!F:F,"여유 시")</f>
        <v>3</v>
      </c>
    </row>
    <row r="24" customFormat="false" ht="15" hidden="false" customHeight="false" outlineLevel="0" collapsed="false">
      <c r="A24" s="5" t="s">
        <v>35</v>
      </c>
      <c r="B24" s="3" t="n">
        <f aca="false">COUNTIF(요구사항!H:H,"*AI*")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36"/>
    <col collapsed="false" customWidth="true" hidden="false" outlineLevel="0" max="4" min="4" style="0" width="32"/>
  </cols>
  <sheetData>
    <row r="1" customFormat="false" ht="15" hidden="false" customHeight="false" outlineLevel="0" collapsed="false">
      <c r="A1" s="7" t="s">
        <v>36</v>
      </c>
      <c r="B1" s="7" t="s">
        <v>37</v>
      </c>
      <c r="C1" s="7" t="s">
        <v>38</v>
      </c>
      <c r="D1" s="7" t="s">
        <v>39</v>
      </c>
    </row>
    <row r="2" customFormat="false" ht="29.85" hidden="false" customHeight="false" outlineLevel="0" collapsed="false">
      <c r="A2" s="8" t="s">
        <v>40</v>
      </c>
      <c r="B2" s="8" t="s">
        <v>41</v>
      </c>
      <c r="C2" s="9" t="s">
        <v>42</v>
      </c>
      <c r="D2" s="8" t="s">
        <v>43</v>
      </c>
    </row>
    <row r="3" customFormat="false" ht="15" hidden="false" customHeight="false" outlineLevel="0" collapsed="false">
      <c r="A3" s="8" t="s">
        <v>44</v>
      </c>
      <c r="B3" s="8" t="s">
        <v>45</v>
      </c>
      <c r="C3" s="9" t="s">
        <v>46</v>
      </c>
      <c r="D3" s="8" t="s">
        <v>47</v>
      </c>
    </row>
    <row r="4" customFormat="false" ht="29.85" hidden="false" customHeight="false" outlineLevel="0" collapsed="false">
      <c r="A4" s="8" t="s">
        <v>48</v>
      </c>
      <c r="B4" s="8" t="s">
        <v>49</v>
      </c>
      <c r="C4" s="9" t="s">
        <v>50</v>
      </c>
      <c r="D4" s="8" t="s">
        <v>51</v>
      </c>
    </row>
    <row r="5" customFormat="false" ht="29.85" hidden="false" customHeight="false" outlineLevel="0" collapsed="false">
      <c r="A5" s="8" t="s">
        <v>52</v>
      </c>
      <c r="B5" s="8" t="s">
        <v>53</v>
      </c>
      <c r="C5" s="9" t="s">
        <v>54</v>
      </c>
      <c r="D5" s="9" t="s">
        <v>55</v>
      </c>
    </row>
    <row r="6" customFormat="false" ht="15" hidden="false" customHeight="false" outlineLevel="0" collapsed="false">
      <c r="A6" s="8" t="s">
        <v>56</v>
      </c>
      <c r="B6" s="8" t="s">
        <v>57</v>
      </c>
      <c r="C6" s="9" t="s">
        <v>58</v>
      </c>
      <c r="D6" s="8" t="s">
        <v>59</v>
      </c>
    </row>
    <row r="7" customFormat="false" ht="29.85" hidden="false" customHeight="false" outlineLevel="0" collapsed="false">
      <c r="A7" s="8" t="s">
        <v>60</v>
      </c>
      <c r="B7" s="8" t="s">
        <v>61</v>
      </c>
      <c r="C7" s="9" t="s">
        <v>62</v>
      </c>
      <c r="D7" s="8" t="s">
        <v>63</v>
      </c>
    </row>
    <row r="8" customFormat="false" ht="15" hidden="false" customHeight="false" outlineLevel="0" collapsed="false">
      <c r="A8" s="8" t="s">
        <v>64</v>
      </c>
      <c r="B8" s="8" t="s">
        <v>65</v>
      </c>
      <c r="C8" s="9" t="s">
        <v>66</v>
      </c>
      <c r="D8" s="8"/>
    </row>
    <row r="9" customFormat="false" ht="29.85" hidden="false" customHeight="false" outlineLevel="0" collapsed="false">
      <c r="A9" s="8" t="s">
        <v>67</v>
      </c>
      <c r="B9" s="8" t="s">
        <v>68</v>
      </c>
      <c r="C9" s="9" t="s">
        <v>69</v>
      </c>
      <c r="D9" s="8" t="s">
        <v>70</v>
      </c>
    </row>
    <row r="10" customFormat="false" ht="15" hidden="false" customHeight="false" outlineLevel="0" collapsed="false">
      <c r="A10" s="8" t="s">
        <v>71</v>
      </c>
      <c r="B10" s="8" t="s">
        <v>72</v>
      </c>
      <c r="C10" s="9" t="s">
        <v>73</v>
      </c>
      <c r="D10" s="8" t="s">
        <v>74</v>
      </c>
    </row>
    <row r="11" customFormat="false" ht="23.85" hidden="false" customHeight="false" outlineLevel="0" collapsed="false">
      <c r="A11" s="8" t="s">
        <v>75</v>
      </c>
      <c r="B11" s="8" t="s">
        <v>76</v>
      </c>
      <c r="C11" s="9" t="s">
        <v>77</v>
      </c>
      <c r="D11" s="9" t="s">
        <v>78</v>
      </c>
    </row>
    <row r="12" customFormat="false" ht="15" hidden="false" customHeight="false" outlineLevel="0" collapsed="false">
      <c r="A12" s="8" t="s">
        <v>79</v>
      </c>
      <c r="B12" s="8" t="s">
        <v>80</v>
      </c>
      <c r="C12" s="9" t="s">
        <v>81</v>
      </c>
      <c r="D12" s="8" t="s">
        <v>82</v>
      </c>
    </row>
    <row r="13" customFormat="false" ht="15" hidden="false" customHeight="false" outlineLevel="0" collapsed="false">
      <c r="A13" s="8" t="s">
        <v>83</v>
      </c>
      <c r="B13" s="8" t="s">
        <v>84</v>
      </c>
      <c r="C13" s="9" t="s">
        <v>85</v>
      </c>
      <c r="D13" s="8" t="s">
        <v>86</v>
      </c>
    </row>
    <row r="14" customFormat="false" ht="15" hidden="false" customHeight="false" outlineLevel="0" collapsed="false">
      <c r="A14" s="8" t="s">
        <v>87</v>
      </c>
      <c r="B14" s="8" t="s">
        <v>88</v>
      </c>
      <c r="C14" s="9" t="s">
        <v>89</v>
      </c>
      <c r="D14" s="8"/>
    </row>
    <row r="15" customFormat="false" ht="15" hidden="false" customHeight="false" outlineLevel="0" collapsed="false">
      <c r="A15" s="8" t="s">
        <v>90</v>
      </c>
      <c r="B15" s="8" t="s">
        <v>91</v>
      </c>
      <c r="C15" s="9" t="s">
        <v>92</v>
      </c>
      <c r="D1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9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32"/>
  </cols>
  <sheetData>
    <row r="1" customFormat="false" ht="15" hidden="false" customHeight="false" outlineLevel="0" collapsed="false">
      <c r="A1" s="10" t="s">
        <v>93</v>
      </c>
      <c r="B1" s="7" t="s">
        <v>94</v>
      </c>
      <c r="C1" s="7" t="s">
        <v>95</v>
      </c>
      <c r="D1" s="7" t="s">
        <v>96</v>
      </c>
      <c r="E1" s="7" t="s">
        <v>97</v>
      </c>
      <c r="F1" s="7" t="s">
        <v>23</v>
      </c>
      <c r="G1" s="7" t="s">
        <v>98</v>
      </c>
      <c r="H1" s="7" t="s">
        <v>99</v>
      </c>
      <c r="I1" s="7" t="s">
        <v>25</v>
      </c>
      <c r="J1" s="7" t="s">
        <v>100</v>
      </c>
      <c r="K1" s="7" t="s">
        <v>39</v>
      </c>
    </row>
    <row r="2" customFormat="false" ht="29.85" hidden="false" customHeight="false" outlineLevel="0" collapsed="false">
      <c r="A2" s="9" t="s">
        <v>101</v>
      </c>
      <c r="B2" s="8" t="s">
        <v>102</v>
      </c>
      <c r="C2" s="8" t="s">
        <v>103</v>
      </c>
      <c r="D2" s="8" t="s">
        <v>104</v>
      </c>
      <c r="E2" s="8" t="s">
        <v>105</v>
      </c>
      <c r="F2" s="8" t="s">
        <v>106</v>
      </c>
      <c r="G2" s="9" t="s">
        <v>107</v>
      </c>
      <c r="H2" s="8" t="s">
        <v>108</v>
      </c>
      <c r="I2" s="8" t="s">
        <v>109</v>
      </c>
      <c r="J2" s="9" t="s">
        <v>110</v>
      </c>
      <c r="K2" s="8"/>
    </row>
    <row r="3" customFormat="false" ht="29.85" hidden="false" customHeight="false" outlineLevel="0" collapsed="false">
      <c r="A3" s="9" t="s">
        <v>111</v>
      </c>
      <c r="B3" s="8" t="s">
        <v>102</v>
      </c>
      <c r="C3" s="8" t="s">
        <v>103</v>
      </c>
      <c r="D3" s="8" t="s">
        <v>112</v>
      </c>
      <c r="E3" s="9" t="s">
        <v>113</v>
      </c>
      <c r="F3" s="8" t="s">
        <v>106</v>
      </c>
      <c r="G3" s="8" t="s">
        <v>114</v>
      </c>
      <c r="H3" s="8" t="s">
        <v>108</v>
      </c>
      <c r="I3" s="11" t="s">
        <v>109</v>
      </c>
      <c r="J3" s="9" t="s">
        <v>110</v>
      </c>
      <c r="K3" s="8" t="s">
        <v>115</v>
      </c>
    </row>
    <row r="4" customFormat="false" ht="29.85" hidden="false" customHeight="false" outlineLevel="0" collapsed="false">
      <c r="A4" s="9" t="s">
        <v>116</v>
      </c>
      <c r="B4" s="8" t="s">
        <v>102</v>
      </c>
      <c r="C4" s="8" t="s">
        <v>117</v>
      </c>
      <c r="D4" s="8" t="s">
        <v>118</v>
      </c>
      <c r="E4" s="8" t="s">
        <v>119</v>
      </c>
      <c r="F4" s="8" t="s">
        <v>106</v>
      </c>
      <c r="G4" s="8" t="s">
        <v>120</v>
      </c>
      <c r="H4" s="8" t="s">
        <v>108</v>
      </c>
      <c r="I4" s="8" t="s">
        <v>109</v>
      </c>
      <c r="J4" s="9" t="s">
        <v>110</v>
      </c>
      <c r="K4" s="8"/>
    </row>
    <row r="5" customFormat="false" ht="29.85" hidden="false" customHeight="false" outlineLevel="0" collapsed="false">
      <c r="A5" s="9" t="s">
        <v>121</v>
      </c>
      <c r="B5" s="8" t="s">
        <v>102</v>
      </c>
      <c r="C5" s="8" t="s">
        <v>122</v>
      </c>
      <c r="D5" s="8" t="s">
        <v>123</v>
      </c>
      <c r="E5" s="8" t="s">
        <v>124</v>
      </c>
      <c r="F5" s="8" t="s">
        <v>106</v>
      </c>
      <c r="G5" s="8" t="s">
        <v>125</v>
      </c>
      <c r="H5" s="8" t="s">
        <v>126</v>
      </c>
      <c r="I5" s="8" t="s">
        <v>109</v>
      </c>
      <c r="J5" s="9" t="s">
        <v>110</v>
      </c>
      <c r="K5" s="8" t="s">
        <v>127</v>
      </c>
    </row>
    <row r="6" customFormat="false" ht="44" hidden="false" customHeight="false" outlineLevel="0" collapsed="false">
      <c r="A6" s="9" t="s">
        <v>128</v>
      </c>
      <c r="B6" s="8" t="s">
        <v>102</v>
      </c>
      <c r="C6" s="8" t="s">
        <v>129</v>
      </c>
      <c r="D6" s="8" t="s">
        <v>130</v>
      </c>
      <c r="E6" s="8" t="s">
        <v>131</v>
      </c>
      <c r="F6" s="8" t="s">
        <v>106</v>
      </c>
      <c r="G6" s="8" t="s">
        <v>132</v>
      </c>
      <c r="H6" s="8" t="s">
        <v>133</v>
      </c>
      <c r="I6" s="8" t="s">
        <v>109</v>
      </c>
      <c r="J6" s="9" t="s">
        <v>110</v>
      </c>
      <c r="K6" s="8" t="s">
        <v>134</v>
      </c>
    </row>
    <row r="7" customFormat="false" ht="29.85" hidden="false" customHeight="false" outlineLevel="0" collapsed="false">
      <c r="A7" s="9" t="s">
        <v>135</v>
      </c>
      <c r="B7" s="8" t="s">
        <v>102</v>
      </c>
      <c r="C7" s="8" t="s">
        <v>136</v>
      </c>
      <c r="D7" s="8" t="s">
        <v>137</v>
      </c>
      <c r="E7" s="8" t="s">
        <v>138</v>
      </c>
      <c r="F7" s="8" t="s">
        <v>106</v>
      </c>
      <c r="G7" s="9" t="s">
        <v>139</v>
      </c>
      <c r="H7" s="8" t="s">
        <v>140</v>
      </c>
      <c r="I7" s="8" t="s">
        <v>109</v>
      </c>
      <c r="J7" s="9" t="s">
        <v>141</v>
      </c>
      <c r="K7" s="8"/>
    </row>
    <row r="8" customFormat="false" ht="29.85" hidden="false" customHeight="false" outlineLevel="0" collapsed="false">
      <c r="A8" s="9" t="s">
        <v>142</v>
      </c>
      <c r="B8" s="8" t="s">
        <v>102</v>
      </c>
      <c r="C8" s="8" t="s">
        <v>136</v>
      </c>
      <c r="D8" s="8" t="s">
        <v>143</v>
      </c>
      <c r="E8" s="8" t="s">
        <v>144</v>
      </c>
      <c r="F8" s="8" t="s">
        <v>106</v>
      </c>
      <c r="G8" s="8" t="s">
        <v>145</v>
      </c>
      <c r="H8" s="9" t="s">
        <v>146</v>
      </c>
      <c r="I8" s="8" t="s">
        <v>109</v>
      </c>
      <c r="J8" s="9" t="s">
        <v>147</v>
      </c>
      <c r="K8" s="8"/>
    </row>
    <row r="9" customFormat="false" ht="41" hidden="false" customHeight="false" outlineLevel="0" collapsed="false">
      <c r="A9" s="9" t="s">
        <v>148</v>
      </c>
      <c r="B9" s="8" t="s">
        <v>102</v>
      </c>
      <c r="C9" s="8" t="s">
        <v>149</v>
      </c>
      <c r="D9" s="8" t="s">
        <v>150</v>
      </c>
      <c r="E9" s="8" t="s">
        <v>151</v>
      </c>
      <c r="F9" s="8" t="s">
        <v>106</v>
      </c>
      <c r="G9" s="9" t="s">
        <v>152</v>
      </c>
      <c r="H9" s="8" t="s">
        <v>153</v>
      </c>
      <c r="I9" s="8" t="s">
        <v>109</v>
      </c>
      <c r="J9" s="9" t="s">
        <v>154</v>
      </c>
      <c r="K9" s="8" t="s">
        <v>155</v>
      </c>
    </row>
    <row r="10" customFormat="false" ht="29.85" hidden="false" customHeight="false" outlineLevel="0" collapsed="false">
      <c r="A10" s="9" t="s">
        <v>156</v>
      </c>
      <c r="B10" s="8" t="s">
        <v>102</v>
      </c>
      <c r="C10" s="8" t="s">
        <v>149</v>
      </c>
      <c r="D10" s="8" t="s">
        <v>157</v>
      </c>
      <c r="E10" s="8" t="s">
        <v>158</v>
      </c>
      <c r="F10" s="8" t="s">
        <v>106</v>
      </c>
      <c r="G10" s="8" t="s">
        <v>159</v>
      </c>
      <c r="H10" s="8" t="s">
        <v>126</v>
      </c>
      <c r="I10" s="8" t="s">
        <v>109</v>
      </c>
      <c r="J10" s="9" t="s">
        <v>141</v>
      </c>
      <c r="K10" s="8" t="s">
        <v>160</v>
      </c>
    </row>
    <row r="11" customFormat="false" ht="29.85" hidden="false" customHeight="false" outlineLevel="0" collapsed="false">
      <c r="A11" s="9" t="s">
        <v>161</v>
      </c>
      <c r="B11" s="8" t="s">
        <v>102</v>
      </c>
      <c r="C11" s="8" t="s">
        <v>149</v>
      </c>
      <c r="D11" s="8" t="s">
        <v>162</v>
      </c>
      <c r="E11" s="8" t="s">
        <v>163</v>
      </c>
      <c r="F11" s="8" t="s">
        <v>106</v>
      </c>
      <c r="G11" s="8" t="s">
        <v>164</v>
      </c>
      <c r="H11" s="8" t="s">
        <v>108</v>
      </c>
      <c r="I11" s="8" t="s">
        <v>109</v>
      </c>
      <c r="J11" s="9" t="s">
        <v>110</v>
      </c>
      <c r="K11" s="8" t="s">
        <v>165</v>
      </c>
    </row>
    <row r="12" customFormat="false" ht="15" hidden="false" customHeight="false" outlineLevel="0" collapsed="false">
      <c r="A12" s="9" t="s">
        <v>166</v>
      </c>
      <c r="B12" s="8" t="s">
        <v>102</v>
      </c>
      <c r="C12" s="8" t="s">
        <v>149</v>
      </c>
      <c r="D12" s="8" t="s">
        <v>167</v>
      </c>
      <c r="E12" s="8" t="s">
        <v>168</v>
      </c>
      <c r="F12" s="8" t="s">
        <v>106</v>
      </c>
      <c r="G12" s="9" t="s">
        <v>169</v>
      </c>
      <c r="H12" s="8" t="s">
        <v>153</v>
      </c>
      <c r="I12" s="8" t="s">
        <v>109</v>
      </c>
      <c r="J12" s="9" t="s">
        <v>170</v>
      </c>
      <c r="K12" s="8"/>
    </row>
    <row r="13" customFormat="false" ht="44" hidden="false" customHeight="false" outlineLevel="0" collapsed="false">
      <c r="A13" s="9" t="s">
        <v>171</v>
      </c>
      <c r="B13" s="8" t="s">
        <v>102</v>
      </c>
      <c r="C13" s="8" t="s">
        <v>172</v>
      </c>
      <c r="D13" s="8" t="s">
        <v>173</v>
      </c>
      <c r="E13" s="8" t="s">
        <v>174</v>
      </c>
      <c r="F13" s="8" t="s">
        <v>106</v>
      </c>
      <c r="G13" s="9" t="s">
        <v>175</v>
      </c>
      <c r="H13" s="9" t="s">
        <v>176</v>
      </c>
      <c r="I13" s="8" t="s">
        <v>109</v>
      </c>
      <c r="J13" s="9" t="s">
        <v>177</v>
      </c>
      <c r="K13" s="8" t="s">
        <v>178</v>
      </c>
    </row>
    <row r="14" customFormat="false" ht="44" hidden="false" customHeight="false" outlineLevel="0" collapsed="false">
      <c r="A14" s="9" t="s">
        <v>179</v>
      </c>
      <c r="B14" s="8" t="s">
        <v>102</v>
      </c>
      <c r="C14" s="8" t="s">
        <v>180</v>
      </c>
      <c r="D14" s="8" t="s">
        <v>181</v>
      </c>
      <c r="E14" s="8" t="s">
        <v>182</v>
      </c>
      <c r="F14" s="8" t="s">
        <v>106</v>
      </c>
      <c r="G14" s="8" t="s">
        <v>183</v>
      </c>
      <c r="H14" s="9" t="s">
        <v>146</v>
      </c>
      <c r="I14" s="8" t="s">
        <v>109</v>
      </c>
      <c r="J14" s="9" t="s">
        <v>147</v>
      </c>
      <c r="K14" s="9" t="s">
        <v>184</v>
      </c>
    </row>
    <row r="15" customFormat="false" ht="29.85" hidden="false" customHeight="false" outlineLevel="0" collapsed="false">
      <c r="A15" s="9" t="s">
        <v>185</v>
      </c>
      <c r="B15" s="8" t="s">
        <v>102</v>
      </c>
      <c r="C15" s="8" t="s">
        <v>180</v>
      </c>
      <c r="D15" s="8" t="s">
        <v>186</v>
      </c>
      <c r="E15" s="9" t="s">
        <v>187</v>
      </c>
      <c r="F15" s="8" t="s">
        <v>188</v>
      </c>
      <c r="G15" s="8" t="s">
        <v>189</v>
      </c>
      <c r="H15" s="8" t="s">
        <v>108</v>
      </c>
      <c r="I15" s="8" t="s">
        <v>109</v>
      </c>
      <c r="J15" s="9" t="s">
        <v>190</v>
      </c>
      <c r="K15" s="9" t="s">
        <v>191</v>
      </c>
    </row>
    <row r="16" customFormat="false" ht="55.2" hidden="false" customHeight="false" outlineLevel="0" collapsed="false">
      <c r="A16" s="9" t="s">
        <v>192</v>
      </c>
      <c r="B16" s="8" t="s">
        <v>102</v>
      </c>
      <c r="C16" s="8" t="s">
        <v>79</v>
      </c>
      <c r="D16" s="8" t="s">
        <v>193</v>
      </c>
      <c r="E16" s="8" t="s">
        <v>194</v>
      </c>
      <c r="F16" s="8" t="s">
        <v>106</v>
      </c>
      <c r="G16" s="9" t="s">
        <v>195</v>
      </c>
      <c r="H16" s="8" t="s">
        <v>140</v>
      </c>
      <c r="I16" s="8" t="s">
        <v>109</v>
      </c>
      <c r="J16" s="9" t="s">
        <v>196</v>
      </c>
      <c r="K16" s="9" t="s">
        <v>197</v>
      </c>
    </row>
    <row r="17" customFormat="false" ht="29.85" hidden="false" customHeight="false" outlineLevel="0" collapsed="false">
      <c r="A17" s="9" t="s">
        <v>198</v>
      </c>
      <c r="B17" s="8" t="s">
        <v>102</v>
      </c>
      <c r="C17" s="8" t="s">
        <v>79</v>
      </c>
      <c r="D17" s="8" t="s">
        <v>199</v>
      </c>
      <c r="E17" s="8" t="s">
        <v>200</v>
      </c>
      <c r="F17" s="8" t="s">
        <v>106</v>
      </c>
      <c r="G17" s="9" t="s">
        <v>201</v>
      </c>
      <c r="H17" s="8" t="s">
        <v>126</v>
      </c>
      <c r="I17" s="8" t="s">
        <v>109</v>
      </c>
      <c r="J17" s="9" t="s">
        <v>202</v>
      </c>
      <c r="K17" s="8" t="s">
        <v>203</v>
      </c>
    </row>
    <row r="18" customFormat="false" ht="52.2" hidden="false" customHeight="false" outlineLevel="0" collapsed="false">
      <c r="A18" s="9" t="s">
        <v>204</v>
      </c>
      <c r="B18" s="8" t="s">
        <v>102</v>
      </c>
      <c r="C18" s="8" t="s">
        <v>75</v>
      </c>
      <c r="D18" s="8" t="s">
        <v>205</v>
      </c>
      <c r="E18" s="9" t="s">
        <v>206</v>
      </c>
      <c r="F18" s="8" t="s">
        <v>106</v>
      </c>
      <c r="G18" s="9" t="s">
        <v>207</v>
      </c>
      <c r="H18" s="8" t="s">
        <v>108</v>
      </c>
      <c r="I18" s="8" t="s">
        <v>109</v>
      </c>
      <c r="J18" s="9" t="s">
        <v>208</v>
      </c>
      <c r="K18" s="9" t="s">
        <v>209</v>
      </c>
    </row>
    <row r="19" customFormat="false" ht="29.85" hidden="false" customHeight="false" outlineLevel="0" collapsed="false">
      <c r="A19" s="9" t="s">
        <v>210</v>
      </c>
      <c r="B19" s="8" t="s">
        <v>102</v>
      </c>
      <c r="C19" s="8" t="s">
        <v>75</v>
      </c>
      <c r="D19" s="8" t="s">
        <v>211</v>
      </c>
      <c r="E19" s="8" t="s">
        <v>212</v>
      </c>
      <c r="F19" s="8" t="s">
        <v>188</v>
      </c>
      <c r="G19" s="9" t="s">
        <v>213</v>
      </c>
      <c r="H19" s="8" t="s">
        <v>126</v>
      </c>
      <c r="I19" s="8" t="s">
        <v>109</v>
      </c>
      <c r="J19" s="9" t="s">
        <v>208</v>
      </c>
      <c r="K19" s="9" t="s">
        <v>214</v>
      </c>
    </row>
    <row r="20" customFormat="false" ht="29.85" hidden="false" customHeight="false" outlineLevel="0" collapsed="false">
      <c r="A20" s="9" t="s">
        <v>215</v>
      </c>
      <c r="B20" s="8" t="s">
        <v>102</v>
      </c>
      <c r="C20" s="8" t="s">
        <v>216</v>
      </c>
      <c r="D20" s="8" t="s">
        <v>217</v>
      </c>
      <c r="E20" s="8" t="s">
        <v>218</v>
      </c>
      <c r="F20" s="8" t="s">
        <v>106</v>
      </c>
      <c r="G20" s="9" t="s">
        <v>219</v>
      </c>
      <c r="H20" s="8" t="s">
        <v>140</v>
      </c>
      <c r="I20" s="8" t="s">
        <v>109</v>
      </c>
      <c r="J20" s="9" t="s">
        <v>110</v>
      </c>
      <c r="K20" s="8"/>
    </row>
    <row r="21" customFormat="false" ht="29.85" hidden="false" customHeight="false" outlineLevel="0" collapsed="false">
      <c r="A21" s="9" t="s">
        <v>220</v>
      </c>
      <c r="B21" s="8" t="s">
        <v>221</v>
      </c>
      <c r="C21" s="8" t="s">
        <v>222</v>
      </c>
      <c r="D21" s="8" t="s">
        <v>223</v>
      </c>
      <c r="E21" s="8" t="s">
        <v>224</v>
      </c>
      <c r="F21" s="8" t="s">
        <v>106</v>
      </c>
      <c r="G21" s="8" t="s">
        <v>225</v>
      </c>
      <c r="H21" s="8" t="s">
        <v>226</v>
      </c>
      <c r="I21" s="8" t="s">
        <v>109</v>
      </c>
      <c r="J21" s="8" t="s">
        <v>227</v>
      </c>
      <c r="K21" s="8"/>
    </row>
    <row r="22" customFormat="false" ht="58.2" hidden="false" customHeight="false" outlineLevel="0" collapsed="false">
      <c r="A22" s="9" t="s">
        <v>228</v>
      </c>
      <c r="B22" s="8" t="s">
        <v>102</v>
      </c>
      <c r="C22" s="8" t="s">
        <v>229</v>
      </c>
      <c r="D22" s="8" t="s">
        <v>230</v>
      </c>
      <c r="E22" s="8" t="s">
        <v>231</v>
      </c>
      <c r="F22" s="8" t="s">
        <v>106</v>
      </c>
      <c r="G22" s="8" t="s">
        <v>232</v>
      </c>
      <c r="H22" s="9" t="s">
        <v>233</v>
      </c>
      <c r="I22" s="8" t="s">
        <v>109</v>
      </c>
      <c r="J22" s="9" t="s">
        <v>170</v>
      </c>
      <c r="K22" s="8" t="s">
        <v>234</v>
      </c>
    </row>
    <row r="23" customFormat="false" ht="44" hidden="false" customHeight="false" outlineLevel="0" collapsed="false">
      <c r="A23" s="9" t="s">
        <v>235</v>
      </c>
      <c r="B23" s="8" t="s">
        <v>102</v>
      </c>
      <c r="C23" s="8" t="s">
        <v>236</v>
      </c>
      <c r="D23" s="8" t="s">
        <v>237</v>
      </c>
      <c r="E23" s="8" t="s">
        <v>238</v>
      </c>
      <c r="F23" s="8" t="s">
        <v>106</v>
      </c>
      <c r="G23" s="8" t="s">
        <v>239</v>
      </c>
      <c r="H23" s="9" t="s">
        <v>240</v>
      </c>
      <c r="I23" s="8" t="s">
        <v>109</v>
      </c>
      <c r="J23" s="9" t="s">
        <v>170</v>
      </c>
      <c r="K23" s="9" t="s">
        <v>241</v>
      </c>
    </row>
    <row r="24" customFormat="false" ht="44" hidden="false" customHeight="false" outlineLevel="0" collapsed="false">
      <c r="A24" s="9" t="s">
        <v>242</v>
      </c>
      <c r="B24" s="8" t="s">
        <v>102</v>
      </c>
      <c r="C24" s="8" t="s">
        <v>236</v>
      </c>
      <c r="D24" s="8" t="s">
        <v>243</v>
      </c>
      <c r="E24" s="8" t="s">
        <v>244</v>
      </c>
      <c r="F24" s="8" t="s">
        <v>106</v>
      </c>
      <c r="G24" s="9" t="s">
        <v>245</v>
      </c>
      <c r="H24" s="9" t="s">
        <v>146</v>
      </c>
      <c r="I24" s="8" t="s">
        <v>109</v>
      </c>
      <c r="J24" s="9" t="s">
        <v>147</v>
      </c>
      <c r="K24" s="9" t="s">
        <v>246</v>
      </c>
    </row>
    <row r="25" customFormat="false" ht="29.85" hidden="false" customHeight="false" outlineLevel="0" collapsed="false">
      <c r="A25" s="9" t="s">
        <v>247</v>
      </c>
      <c r="B25" s="8" t="s">
        <v>102</v>
      </c>
      <c r="C25" s="8" t="s">
        <v>236</v>
      </c>
      <c r="D25" s="9" t="s">
        <v>248</v>
      </c>
      <c r="E25" s="8" t="s">
        <v>249</v>
      </c>
      <c r="F25" s="8" t="s">
        <v>188</v>
      </c>
      <c r="G25" s="9" t="s">
        <v>250</v>
      </c>
      <c r="H25" s="9" t="s">
        <v>146</v>
      </c>
      <c r="I25" s="8" t="s">
        <v>109</v>
      </c>
      <c r="J25" s="9" t="s">
        <v>170</v>
      </c>
      <c r="K25" s="8" t="s">
        <v>251</v>
      </c>
    </row>
    <row r="26" customFormat="false" ht="29.85" hidden="false" customHeight="false" outlineLevel="0" collapsed="false">
      <c r="A26" s="9" t="s">
        <v>252</v>
      </c>
      <c r="B26" s="8" t="s">
        <v>102</v>
      </c>
      <c r="C26" s="8" t="s">
        <v>236</v>
      </c>
      <c r="D26" s="8" t="s">
        <v>253</v>
      </c>
      <c r="E26" s="8" t="s">
        <v>254</v>
      </c>
      <c r="F26" s="8" t="s">
        <v>255</v>
      </c>
      <c r="G26" s="8" t="s">
        <v>256</v>
      </c>
      <c r="H26" s="9" t="s">
        <v>176</v>
      </c>
      <c r="I26" s="8" t="s">
        <v>109</v>
      </c>
      <c r="J26" s="9" t="s">
        <v>190</v>
      </c>
      <c r="K26" s="9" t="s">
        <v>257</v>
      </c>
    </row>
    <row r="27" customFormat="false" ht="29.85" hidden="false" customHeight="false" outlineLevel="0" collapsed="false">
      <c r="A27" s="9" t="s">
        <v>258</v>
      </c>
      <c r="B27" s="8" t="s">
        <v>102</v>
      </c>
      <c r="C27" s="8" t="s">
        <v>236</v>
      </c>
      <c r="D27" s="8" t="s">
        <v>259</v>
      </c>
      <c r="E27" s="9" t="s">
        <v>260</v>
      </c>
      <c r="F27" s="8" t="s">
        <v>255</v>
      </c>
      <c r="G27" s="9" t="s">
        <v>261</v>
      </c>
      <c r="H27" s="9" t="s">
        <v>240</v>
      </c>
      <c r="I27" s="8" t="s">
        <v>109</v>
      </c>
      <c r="J27" s="9" t="s">
        <v>170</v>
      </c>
      <c r="K27" s="9" t="s">
        <v>262</v>
      </c>
    </row>
    <row r="28" customFormat="false" ht="44" hidden="false" customHeight="false" outlineLevel="0" collapsed="false">
      <c r="A28" s="9" t="s">
        <v>263</v>
      </c>
      <c r="B28" s="8" t="s">
        <v>102</v>
      </c>
      <c r="C28" s="8" t="s">
        <v>264</v>
      </c>
      <c r="D28" s="8" t="s">
        <v>265</v>
      </c>
      <c r="E28" s="8" t="s">
        <v>266</v>
      </c>
      <c r="F28" s="8" t="s">
        <v>106</v>
      </c>
      <c r="G28" s="9" t="s">
        <v>267</v>
      </c>
      <c r="H28" s="9" t="s">
        <v>146</v>
      </c>
      <c r="I28" s="8" t="s">
        <v>109</v>
      </c>
      <c r="J28" s="9" t="s">
        <v>170</v>
      </c>
      <c r="K28" s="9" t="s">
        <v>268</v>
      </c>
    </row>
    <row r="29" customFormat="false" ht="29.85" hidden="false" customHeight="false" outlineLevel="0" collapsed="false">
      <c r="A29" s="9" t="s">
        <v>269</v>
      </c>
      <c r="B29" s="8" t="s">
        <v>221</v>
      </c>
      <c r="C29" s="8" t="s">
        <v>270</v>
      </c>
      <c r="D29" s="8" t="s">
        <v>271</v>
      </c>
      <c r="E29" s="8" t="s">
        <v>272</v>
      </c>
      <c r="F29" s="8" t="s">
        <v>106</v>
      </c>
      <c r="G29" s="9" t="s">
        <v>273</v>
      </c>
      <c r="H29" s="9" t="s">
        <v>240</v>
      </c>
      <c r="I29" s="8" t="s">
        <v>109</v>
      </c>
      <c r="J29" s="9" t="s">
        <v>170</v>
      </c>
      <c r="K29" s="9" t="s">
        <v>274</v>
      </c>
    </row>
    <row r="30" customFormat="false" ht="44" hidden="false" customHeight="false" outlineLevel="0" collapsed="false">
      <c r="A30" s="9" t="s">
        <v>275</v>
      </c>
      <c r="B30" s="8" t="s">
        <v>102</v>
      </c>
      <c r="C30" s="8" t="s">
        <v>276</v>
      </c>
      <c r="D30" s="8" t="s">
        <v>277</v>
      </c>
      <c r="E30" s="8" t="s">
        <v>278</v>
      </c>
      <c r="F30" s="8" t="s">
        <v>106</v>
      </c>
      <c r="G30" s="9" t="s">
        <v>279</v>
      </c>
      <c r="H30" s="8" t="s">
        <v>140</v>
      </c>
      <c r="I30" s="8" t="s">
        <v>109</v>
      </c>
      <c r="J30" s="9" t="s">
        <v>190</v>
      </c>
      <c r="K30" s="9" t="s">
        <v>280</v>
      </c>
    </row>
    <row r="31" customFormat="false" ht="29.85" hidden="false" customHeight="false" outlineLevel="0" collapsed="false">
      <c r="A31" s="9" t="s">
        <v>281</v>
      </c>
      <c r="B31" s="8" t="s">
        <v>102</v>
      </c>
      <c r="C31" s="8" t="s">
        <v>276</v>
      </c>
      <c r="D31" s="8" t="s">
        <v>282</v>
      </c>
      <c r="E31" s="8" t="s">
        <v>283</v>
      </c>
      <c r="F31" s="8" t="s">
        <v>106</v>
      </c>
      <c r="G31" s="8" t="s">
        <v>284</v>
      </c>
      <c r="H31" s="8" t="s">
        <v>126</v>
      </c>
      <c r="I31" s="8" t="s">
        <v>109</v>
      </c>
      <c r="J31" s="9" t="s">
        <v>190</v>
      </c>
      <c r="K31" s="8"/>
    </row>
    <row r="32" customFormat="false" ht="29.85" hidden="false" customHeight="false" outlineLevel="0" collapsed="false">
      <c r="A32" s="9" t="s">
        <v>285</v>
      </c>
      <c r="B32" s="8" t="s">
        <v>102</v>
      </c>
      <c r="C32" s="8" t="s">
        <v>25</v>
      </c>
      <c r="D32" s="8" t="s">
        <v>286</v>
      </c>
      <c r="E32" s="8" t="s">
        <v>287</v>
      </c>
      <c r="F32" s="8" t="s">
        <v>106</v>
      </c>
      <c r="G32" s="8" t="s">
        <v>288</v>
      </c>
      <c r="H32" s="9" t="s">
        <v>176</v>
      </c>
      <c r="I32" s="8" t="s">
        <v>109</v>
      </c>
      <c r="J32" s="9" t="s">
        <v>190</v>
      </c>
      <c r="K32" s="9" t="s">
        <v>289</v>
      </c>
    </row>
    <row r="33" customFormat="false" ht="29.85" hidden="false" customHeight="false" outlineLevel="0" collapsed="false">
      <c r="A33" s="9" t="s">
        <v>290</v>
      </c>
      <c r="B33" s="8" t="s">
        <v>102</v>
      </c>
      <c r="C33" s="8" t="s">
        <v>291</v>
      </c>
      <c r="D33" s="8" t="s">
        <v>292</v>
      </c>
      <c r="E33" s="8" t="s">
        <v>293</v>
      </c>
      <c r="F33" s="8" t="s">
        <v>106</v>
      </c>
      <c r="G33" s="9" t="s">
        <v>294</v>
      </c>
      <c r="H33" s="8" t="s">
        <v>140</v>
      </c>
      <c r="I33" s="11" t="s">
        <v>109</v>
      </c>
      <c r="J33" s="9" t="s">
        <v>190</v>
      </c>
      <c r="K33" s="8"/>
    </row>
    <row r="34" customFormat="false" ht="29.85" hidden="false" customHeight="false" outlineLevel="0" collapsed="false">
      <c r="A34" s="9" t="s">
        <v>295</v>
      </c>
      <c r="B34" s="8" t="s">
        <v>102</v>
      </c>
      <c r="C34" s="8" t="s">
        <v>296</v>
      </c>
      <c r="D34" s="8" t="s">
        <v>297</v>
      </c>
      <c r="E34" s="8" t="s">
        <v>298</v>
      </c>
      <c r="F34" s="8" t="s">
        <v>106</v>
      </c>
      <c r="G34" s="9" t="s">
        <v>299</v>
      </c>
      <c r="H34" s="8" t="s">
        <v>126</v>
      </c>
      <c r="I34" s="8" t="s">
        <v>109</v>
      </c>
      <c r="J34" s="9" t="s">
        <v>190</v>
      </c>
      <c r="K34" s="9" t="s">
        <v>300</v>
      </c>
    </row>
    <row r="35" customFormat="false" ht="29.85" hidden="false" customHeight="false" outlineLevel="0" collapsed="false">
      <c r="A35" s="9" t="s">
        <v>301</v>
      </c>
      <c r="B35" s="8" t="s">
        <v>102</v>
      </c>
      <c r="C35" s="8" t="s">
        <v>302</v>
      </c>
      <c r="D35" s="8" t="s">
        <v>303</v>
      </c>
      <c r="E35" s="8" t="s">
        <v>304</v>
      </c>
      <c r="F35" s="8" t="s">
        <v>188</v>
      </c>
      <c r="G35" s="8" t="s">
        <v>305</v>
      </c>
      <c r="H35" s="9" t="s">
        <v>176</v>
      </c>
      <c r="I35" s="8" t="s">
        <v>109</v>
      </c>
      <c r="J35" s="9" t="s">
        <v>306</v>
      </c>
      <c r="K35" s="8" t="s">
        <v>307</v>
      </c>
    </row>
    <row r="36" customFormat="false" ht="29.85" hidden="false" customHeight="false" outlineLevel="0" collapsed="false">
      <c r="A36" s="9" t="s">
        <v>308</v>
      </c>
      <c r="B36" s="8" t="s">
        <v>102</v>
      </c>
      <c r="C36" s="8" t="s">
        <v>309</v>
      </c>
      <c r="D36" s="8" t="s">
        <v>310</v>
      </c>
      <c r="E36" s="8" t="s">
        <v>311</v>
      </c>
      <c r="F36" s="8" t="s">
        <v>106</v>
      </c>
      <c r="G36" s="9" t="s">
        <v>312</v>
      </c>
      <c r="H36" s="9" t="s">
        <v>146</v>
      </c>
      <c r="I36" s="8" t="s">
        <v>109</v>
      </c>
      <c r="J36" s="9" t="s">
        <v>313</v>
      </c>
      <c r="K36" s="9" t="s">
        <v>314</v>
      </c>
    </row>
    <row r="37" customFormat="false" ht="44" hidden="false" customHeight="false" outlineLevel="0" collapsed="false">
      <c r="A37" s="9" t="s">
        <v>315</v>
      </c>
      <c r="B37" s="8" t="s">
        <v>102</v>
      </c>
      <c r="C37" s="8" t="s">
        <v>316</v>
      </c>
      <c r="D37" s="8" t="s">
        <v>317</v>
      </c>
      <c r="E37" s="8" t="s">
        <v>318</v>
      </c>
      <c r="F37" s="8" t="s">
        <v>106</v>
      </c>
      <c r="G37" s="9" t="s">
        <v>319</v>
      </c>
      <c r="H37" s="9" t="s">
        <v>233</v>
      </c>
      <c r="I37" s="8" t="s">
        <v>109</v>
      </c>
      <c r="J37" s="9" t="s">
        <v>202</v>
      </c>
      <c r="K37" s="9" t="s">
        <v>320</v>
      </c>
    </row>
    <row r="38" customFormat="false" ht="29.85" hidden="false" customHeight="false" outlineLevel="0" collapsed="false">
      <c r="A38" s="9" t="s">
        <v>321</v>
      </c>
      <c r="B38" s="8" t="s">
        <v>102</v>
      </c>
      <c r="C38" s="8" t="s">
        <v>322</v>
      </c>
      <c r="D38" s="8" t="s">
        <v>323</v>
      </c>
      <c r="E38" s="8" t="s">
        <v>324</v>
      </c>
      <c r="F38" s="8" t="s">
        <v>106</v>
      </c>
      <c r="G38" s="9" t="s">
        <v>325</v>
      </c>
      <c r="H38" s="8" t="s">
        <v>140</v>
      </c>
      <c r="I38" s="8" t="s">
        <v>109</v>
      </c>
      <c r="J38" s="9" t="s">
        <v>202</v>
      </c>
      <c r="K38" s="8" t="s">
        <v>326</v>
      </c>
    </row>
    <row r="39" customFormat="false" ht="29.85" hidden="false" customHeight="false" outlineLevel="0" collapsed="false">
      <c r="A39" s="9" t="s">
        <v>327</v>
      </c>
      <c r="B39" s="8" t="s">
        <v>102</v>
      </c>
      <c r="C39" s="8" t="s">
        <v>328</v>
      </c>
      <c r="D39" s="8" t="s">
        <v>329</v>
      </c>
      <c r="E39" s="8" t="s">
        <v>330</v>
      </c>
      <c r="F39" s="8" t="s">
        <v>106</v>
      </c>
      <c r="G39" s="9" t="s">
        <v>331</v>
      </c>
      <c r="H39" s="9" t="s">
        <v>146</v>
      </c>
      <c r="I39" s="8" t="s">
        <v>109</v>
      </c>
      <c r="J39" s="9" t="s">
        <v>202</v>
      </c>
      <c r="K39" s="9" t="s">
        <v>332</v>
      </c>
    </row>
    <row r="40" customFormat="false" ht="15" hidden="false" customHeight="false" outlineLevel="0" collapsed="false">
      <c r="A40" s="9" t="s">
        <v>333</v>
      </c>
      <c r="B40" s="8" t="s">
        <v>102</v>
      </c>
      <c r="C40" s="8" t="s">
        <v>328</v>
      </c>
      <c r="D40" s="8" t="s">
        <v>334</v>
      </c>
      <c r="E40" s="8" t="s">
        <v>335</v>
      </c>
      <c r="F40" s="8" t="s">
        <v>188</v>
      </c>
      <c r="G40" s="9" t="s">
        <v>336</v>
      </c>
      <c r="H40" s="9" t="s">
        <v>146</v>
      </c>
      <c r="I40" s="8" t="s">
        <v>109</v>
      </c>
      <c r="J40" s="9" t="s">
        <v>202</v>
      </c>
      <c r="K40" s="8"/>
    </row>
    <row r="41" customFormat="false" ht="29.85" hidden="false" customHeight="false" outlineLevel="0" collapsed="false">
      <c r="A41" s="9" t="s">
        <v>337</v>
      </c>
      <c r="B41" s="8" t="s">
        <v>102</v>
      </c>
      <c r="C41" s="8" t="s">
        <v>264</v>
      </c>
      <c r="D41" s="8" t="s">
        <v>338</v>
      </c>
      <c r="E41" s="8" t="s">
        <v>339</v>
      </c>
      <c r="F41" s="8" t="s">
        <v>106</v>
      </c>
      <c r="G41" s="9" t="s">
        <v>340</v>
      </c>
      <c r="H41" s="9" t="s">
        <v>146</v>
      </c>
      <c r="I41" s="8" t="s">
        <v>109</v>
      </c>
      <c r="J41" s="9" t="s">
        <v>313</v>
      </c>
      <c r="K41" s="9" t="s">
        <v>341</v>
      </c>
    </row>
    <row r="42" customFormat="false" ht="15" hidden="false" customHeight="false" outlineLevel="0" collapsed="false">
      <c r="A42" s="9" t="s">
        <v>342</v>
      </c>
      <c r="B42" s="8" t="s">
        <v>102</v>
      </c>
      <c r="C42" s="8" t="s">
        <v>343</v>
      </c>
      <c r="D42" s="8" t="s">
        <v>344</v>
      </c>
      <c r="E42" s="8" t="s">
        <v>345</v>
      </c>
      <c r="F42" s="8" t="s">
        <v>106</v>
      </c>
      <c r="G42" s="9" t="s">
        <v>346</v>
      </c>
      <c r="H42" s="8" t="s">
        <v>126</v>
      </c>
      <c r="I42" s="8" t="s">
        <v>109</v>
      </c>
      <c r="J42" s="9" t="s">
        <v>110</v>
      </c>
      <c r="K42" s="8"/>
    </row>
    <row r="43" customFormat="false" ht="29.85" hidden="false" customHeight="false" outlineLevel="0" collapsed="false">
      <c r="A43" s="9" t="s">
        <v>347</v>
      </c>
      <c r="B43" s="8" t="s">
        <v>102</v>
      </c>
      <c r="C43" s="8" t="s">
        <v>25</v>
      </c>
      <c r="D43" s="8" t="s">
        <v>348</v>
      </c>
      <c r="E43" s="8" t="s">
        <v>349</v>
      </c>
      <c r="F43" s="8" t="s">
        <v>106</v>
      </c>
      <c r="G43" s="8" t="s">
        <v>350</v>
      </c>
      <c r="H43" s="8" t="s">
        <v>108</v>
      </c>
      <c r="I43" s="8" t="s">
        <v>109</v>
      </c>
      <c r="J43" s="9" t="s">
        <v>202</v>
      </c>
      <c r="K43" s="8"/>
    </row>
    <row r="44" customFormat="false" ht="15" hidden="false" customHeight="false" outlineLevel="0" collapsed="false">
      <c r="A44" s="9" t="s">
        <v>351</v>
      </c>
      <c r="B44" s="8" t="s">
        <v>102</v>
      </c>
      <c r="C44" s="8" t="s">
        <v>87</v>
      </c>
      <c r="D44" s="8" t="s">
        <v>352</v>
      </c>
      <c r="E44" s="8" t="s">
        <v>353</v>
      </c>
      <c r="F44" s="8" t="s">
        <v>106</v>
      </c>
      <c r="G44" s="9" t="s">
        <v>354</v>
      </c>
      <c r="H44" s="8" t="s">
        <v>108</v>
      </c>
      <c r="I44" s="8" t="s">
        <v>109</v>
      </c>
      <c r="J44" s="9" t="s">
        <v>355</v>
      </c>
      <c r="K44" s="8"/>
    </row>
    <row r="45" customFormat="false" ht="29.85" hidden="false" customHeight="false" outlineLevel="0" collapsed="false">
      <c r="A45" s="9" t="s">
        <v>356</v>
      </c>
      <c r="B45" s="8" t="s">
        <v>102</v>
      </c>
      <c r="C45" s="8" t="s">
        <v>357</v>
      </c>
      <c r="D45" s="8" t="s">
        <v>358</v>
      </c>
      <c r="E45" s="8" t="s">
        <v>359</v>
      </c>
      <c r="F45" s="8" t="s">
        <v>188</v>
      </c>
      <c r="G45" s="9" t="s">
        <v>360</v>
      </c>
      <c r="H45" s="8" t="s">
        <v>108</v>
      </c>
      <c r="I45" s="8" t="s">
        <v>109</v>
      </c>
      <c r="J45" s="9" t="s">
        <v>361</v>
      </c>
      <c r="K45" s="8"/>
    </row>
    <row r="46" customFormat="false" ht="29.85" hidden="false" customHeight="false" outlineLevel="0" collapsed="false">
      <c r="A46" s="9" t="s">
        <v>362</v>
      </c>
      <c r="B46" s="8" t="s">
        <v>102</v>
      </c>
      <c r="C46" s="8" t="s">
        <v>90</v>
      </c>
      <c r="D46" s="8" t="s">
        <v>363</v>
      </c>
      <c r="E46" s="8" t="s">
        <v>364</v>
      </c>
      <c r="F46" s="8" t="s">
        <v>188</v>
      </c>
      <c r="G46" s="9" t="s">
        <v>365</v>
      </c>
      <c r="H46" s="8" t="s">
        <v>140</v>
      </c>
      <c r="I46" s="8" t="s">
        <v>109</v>
      </c>
      <c r="J46" s="9" t="s">
        <v>361</v>
      </c>
      <c r="K46" s="9" t="s">
        <v>366</v>
      </c>
    </row>
    <row r="47" customFormat="false" ht="15" hidden="false" customHeight="false" outlineLevel="0" collapsed="false">
      <c r="A47" s="9" t="s">
        <v>367</v>
      </c>
      <c r="B47" s="8" t="s">
        <v>102</v>
      </c>
      <c r="C47" s="8" t="s">
        <v>368</v>
      </c>
      <c r="D47" s="8" t="s">
        <v>369</v>
      </c>
      <c r="E47" s="8" t="s">
        <v>370</v>
      </c>
      <c r="F47" s="8" t="s">
        <v>188</v>
      </c>
      <c r="G47" s="8" t="s">
        <v>371</v>
      </c>
      <c r="H47" s="8" t="s">
        <v>133</v>
      </c>
      <c r="I47" s="8" t="s">
        <v>109</v>
      </c>
      <c r="J47" s="9" t="s">
        <v>361</v>
      </c>
      <c r="K47" s="8" t="s">
        <v>372</v>
      </c>
    </row>
    <row r="48" customFormat="false" ht="44" hidden="false" customHeight="false" outlineLevel="0" collapsed="false">
      <c r="A48" s="9" t="s">
        <v>373</v>
      </c>
      <c r="B48" s="8" t="s">
        <v>102</v>
      </c>
      <c r="C48" s="9" t="s">
        <v>374</v>
      </c>
      <c r="D48" s="9" t="s">
        <v>375</v>
      </c>
      <c r="E48" s="8" t="s">
        <v>376</v>
      </c>
      <c r="F48" s="8" t="s">
        <v>188</v>
      </c>
      <c r="G48" s="8" t="s">
        <v>377</v>
      </c>
      <c r="H48" s="9" t="s">
        <v>240</v>
      </c>
      <c r="I48" s="8" t="s">
        <v>109</v>
      </c>
      <c r="J48" s="9" t="s">
        <v>378</v>
      </c>
      <c r="K48" s="9" t="s">
        <v>379</v>
      </c>
    </row>
    <row r="49" customFormat="false" ht="15" hidden="false" customHeight="false" outlineLevel="0" collapsed="false">
      <c r="A49" s="9" t="s">
        <v>380</v>
      </c>
      <c r="B49" s="8" t="s">
        <v>102</v>
      </c>
      <c r="C49" s="9" t="s">
        <v>374</v>
      </c>
      <c r="D49" s="8" t="s">
        <v>381</v>
      </c>
      <c r="E49" s="8" t="s">
        <v>382</v>
      </c>
      <c r="F49" s="8" t="s">
        <v>188</v>
      </c>
      <c r="G49" s="8" t="s">
        <v>383</v>
      </c>
      <c r="H49" s="9" t="s">
        <v>176</v>
      </c>
      <c r="I49" s="8" t="s">
        <v>109</v>
      </c>
      <c r="J49" s="9" t="s">
        <v>378</v>
      </c>
      <c r="K49" s="8"/>
    </row>
    <row r="50" customFormat="false" ht="15" hidden="false" customHeight="false" outlineLevel="0" collapsed="false">
      <c r="A50" s="9" t="s">
        <v>384</v>
      </c>
      <c r="B50" s="8" t="s">
        <v>102</v>
      </c>
      <c r="C50" s="8" t="s">
        <v>385</v>
      </c>
      <c r="D50" s="8" t="s">
        <v>386</v>
      </c>
      <c r="E50" s="8" t="s">
        <v>387</v>
      </c>
      <c r="F50" s="8" t="s">
        <v>106</v>
      </c>
      <c r="G50" s="9" t="s">
        <v>388</v>
      </c>
      <c r="H50" s="9" t="s">
        <v>240</v>
      </c>
      <c r="I50" s="8" t="s">
        <v>109</v>
      </c>
      <c r="J50" s="9" t="s">
        <v>313</v>
      </c>
      <c r="K50" s="8" t="s">
        <v>389</v>
      </c>
    </row>
    <row r="51" customFormat="false" ht="29.85" hidden="false" customHeight="false" outlineLevel="0" collapsed="false">
      <c r="A51" s="9" t="s">
        <v>390</v>
      </c>
      <c r="B51" s="8" t="s">
        <v>102</v>
      </c>
      <c r="C51" s="8" t="s">
        <v>391</v>
      </c>
      <c r="D51" s="8" t="s">
        <v>392</v>
      </c>
      <c r="E51" s="8" t="s">
        <v>393</v>
      </c>
      <c r="F51" s="8" t="s">
        <v>188</v>
      </c>
      <c r="G51" s="8" t="s">
        <v>394</v>
      </c>
      <c r="H51" s="8" t="s">
        <v>140</v>
      </c>
      <c r="I51" s="8" t="s">
        <v>109</v>
      </c>
      <c r="J51" s="9" t="s">
        <v>395</v>
      </c>
      <c r="K51" s="9" t="s">
        <v>396</v>
      </c>
    </row>
    <row r="52" customFormat="false" ht="15" hidden="false" customHeight="false" outlineLevel="0" collapsed="false">
      <c r="A52" s="9" t="s">
        <v>397</v>
      </c>
      <c r="B52" s="8" t="s">
        <v>102</v>
      </c>
      <c r="C52" s="8" t="s">
        <v>398</v>
      </c>
      <c r="D52" s="8" t="s">
        <v>399</v>
      </c>
      <c r="E52" s="8" t="s">
        <v>400</v>
      </c>
      <c r="F52" s="8" t="s">
        <v>255</v>
      </c>
      <c r="G52" s="9" t="s">
        <v>401</v>
      </c>
      <c r="H52" s="9" t="s">
        <v>240</v>
      </c>
      <c r="I52" s="8" t="s">
        <v>109</v>
      </c>
      <c r="J52" s="9" t="s">
        <v>402</v>
      </c>
      <c r="K52" s="8" t="s">
        <v>403</v>
      </c>
    </row>
    <row r="53" customFormat="false" ht="29.85" hidden="false" customHeight="false" outlineLevel="0" collapsed="false">
      <c r="A53" s="9" t="s">
        <v>404</v>
      </c>
      <c r="B53" s="8" t="s">
        <v>221</v>
      </c>
      <c r="C53" s="8" t="s">
        <v>405</v>
      </c>
      <c r="D53" s="9" t="s">
        <v>406</v>
      </c>
      <c r="E53" s="8" t="s">
        <v>407</v>
      </c>
      <c r="F53" s="8" t="s">
        <v>106</v>
      </c>
      <c r="G53" s="9" t="s">
        <v>408</v>
      </c>
      <c r="H53" s="8" t="s">
        <v>409</v>
      </c>
      <c r="I53" s="8" t="s">
        <v>109</v>
      </c>
      <c r="J53" s="8" t="s">
        <v>227</v>
      </c>
      <c r="K53" s="8"/>
    </row>
    <row r="54" customFormat="false" ht="15" hidden="false" customHeight="false" outlineLevel="0" collapsed="false">
      <c r="A54" s="9" t="s">
        <v>410</v>
      </c>
      <c r="B54" s="8" t="s">
        <v>221</v>
      </c>
      <c r="C54" s="8" t="s">
        <v>411</v>
      </c>
      <c r="D54" s="8" t="s">
        <v>412</v>
      </c>
      <c r="E54" s="9" t="s">
        <v>413</v>
      </c>
      <c r="F54" s="8" t="s">
        <v>106</v>
      </c>
      <c r="G54" s="8" t="s">
        <v>414</v>
      </c>
      <c r="H54" s="8" t="s">
        <v>415</v>
      </c>
      <c r="I54" s="8" t="s">
        <v>109</v>
      </c>
      <c r="J54" s="8" t="s">
        <v>227</v>
      </c>
      <c r="K54" s="8"/>
    </row>
    <row r="55" customFormat="false" ht="29.85" hidden="false" customHeight="false" outlineLevel="0" collapsed="false">
      <c r="A55" s="9" t="s">
        <v>416</v>
      </c>
      <c r="B55" s="8" t="s">
        <v>221</v>
      </c>
      <c r="C55" s="8" t="s">
        <v>417</v>
      </c>
      <c r="D55" s="9" t="s">
        <v>418</v>
      </c>
      <c r="E55" s="8" t="s">
        <v>419</v>
      </c>
      <c r="F55" s="8" t="s">
        <v>106</v>
      </c>
      <c r="G55" s="8" t="s">
        <v>420</v>
      </c>
      <c r="H55" s="9" t="s">
        <v>240</v>
      </c>
      <c r="I55" s="8" t="s">
        <v>109</v>
      </c>
      <c r="J55" s="9" t="s">
        <v>170</v>
      </c>
      <c r="K55" s="8"/>
    </row>
    <row r="56" customFormat="false" ht="15" hidden="false" customHeight="false" outlineLevel="0" collapsed="false">
      <c r="A56" s="9" t="s">
        <v>421</v>
      </c>
      <c r="B56" s="8" t="s">
        <v>221</v>
      </c>
      <c r="C56" s="8" t="s">
        <v>422</v>
      </c>
      <c r="D56" s="8" t="s">
        <v>423</v>
      </c>
      <c r="E56" s="9" t="s">
        <v>424</v>
      </c>
      <c r="F56" s="8" t="s">
        <v>106</v>
      </c>
      <c r="G56" s="8" t="s">
        <v>425</v>
      </c>
      <c r="H56" s="8" t="s">
        <v>133</v>
      </c>
      <c r="I56" s="8" t="s">
        <v>109</v>
      </c>
      <c r="J56" s="8" t="s">
        <v>227</v>
      </c>
      <c r="K56" s="8"/>
    </row>
  </sheetData>
  <autoFilter ref="A1:K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8"/>
    <col collapsed="false" customWidth="true" hidden="false" outlineLevel="0" max="7" min="6" style="0" width="34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7" t="s">
        <v>426</v>
      </c>
      <c r="B1" s="7" t="s">
        <v>427</v>
      </c>
      <c r="C1" s="7" t="s">
        <v>428</v>
      </c>
      <c r="D1" s="7" t="s">
        <v>429</v>
      </c>
      <c r="E1" s="7" t="s">
        <v>106</v>
      </c>
      <c r="F1" s="7" t="s">
        <v>430</v>
      </c>
      <c r="G1" s="7" t="s">
        <v>431</v>
      </c>
      <c r="H1" s="7" t="s">
        <v>432</v>
      </c>
    </row>
    <row r="2" customFormat="false" ht="15" hidden="false" customHeight="false" outlineLevel="0" collapsed="false">
      <c r="A2" s="9" t="s">
        <v>433</v>
      </c>
      <c r="B2" s="8" t="s">
        <v>434</v>
      </c>
      <c r="C2" s="8" t="s">
        <v>435</v>
      </c>
      <c r="D2" s="8" t="s">
        <v>436</v>
      </c>
      <c r="E2" s="8" t="s">
        <v>106</v>
      </c>
      <c r="F2" s="9" t="s">
        <v>437</v>
      </c>
      <c r="G2" s="8" t="s">
        <v>103</v>
      </c>
      <c r="H2" s="9" t="s">
        <v>101</v>
      </c>
    </row>
    <row r="3" customFormat="false" ht="15" hidden="false" customHeight="false" outlineLevel="0" collapsed="false">
      <c r="A3" s="9" t="s">
        <v>433</v>
      </c>
      <c r="B3" s="8" t="s">
        <v>123</v>
      </c>
      <c r="C3" s="8" t="s">
        <v>438</v>
      </c>
      <c r="D3" s="8" t="s">
        <v>439</v>
      </c>
      <c r="E3" s="8" t="s">
        <v>106</v>
      </c>
      <c r="F3" s="9" t="s">
        <v>440</v>
      </c>
      <c r="G3" s="9" t="s">
        <v>441</v>
      </c>
      <c r="H3" s="9" t="s">
        <v>121</v>
      </c>
    </row>
    <row r="4" customFormat="false" ht="15" hidden="false" customHeight="false" outlineLevel="0" collapsed="false">
      <c r="A4" s="9" t="s">
        <v>442</v>
      </c>
      <c r="B4" s="8" t="s">
        <v>443</v>
      </c>
      <c r="C4" s="8" t="s">
        <v>444</v>
      </c>
      <c r="D4" s="8" t="s">
        <v>445</v>
      </c>
      <c r="E4" s="8" t="s">
        <v>106</v>
      </c>
      <c r="F4" s="9" t="s">
        <v>446</v>
      </c>
      <c r="G4" s="9" t="s">
        <v>447</v>
      </c>
      <c r="H4" s="9" t="s">
        <v>135</v>
      </c>
    </row>
    <row r="5" customFormat="false" ht="15" hidden="false" customHeight="false" outlineLevel="0" collapsed="false">
      <c r="A5" s="9" t="s">
        <v>442</v>
      </c>
      <c r="B5" s="8" t="s">
        <v>448</v>
      </c>
      <c r="C5" s="8" t="s">
        <v>449</v>
      </c>
      <c r="D5" s="9" t="s">
        <v>450</v>
      </c>
      <c r="E5" s="8" t="s">
        <v>188</v>
      </c>
      <c r="F5" s="9" t="s">
        <v>451</v>
      </c>
      <c r="G5" s="8" t="s">
        <v>452</v>
      </c>
      <c r="H5" s="9" t="s">
        <v>142</v>
      </c>
    </row>
    <row r="6" customFormat="false" ht="15" hidden="false" customHeight="false" outlineLevel="0" collapsed="false">
      <c r="A6" s="9" t="s">
        <v>442</v>
      </c>
      <c r="B6" s="8" t="s">
        <v>453</v>
      </c>
      <c r="C6" s="8" t="s">
        <v>188</v>
      </c>
      <c r="D6" s="9" t="s">
        <v>454</v>
      </c>
      <c r="E6" s="8" t="s">
        <v>106</v>
      </c>
      <c r="F6" s="9" t="s">
        <v>446</v>
      </c>
      <c r="G6" s="8" t="s">
        <v>455</v>
      </c>
      <c r="H6" s="9" t="s">
        <v>171</v>
      </c>
    </row>
    <row r="7" customFormat="false" ht="23.85" hidden="false" customHeight="false" outlineLevel="0" collapsed="false">
      <c r="A7" s="9" t="s">
        <v>456</v>
      </c>
      <c r="B7" s="8" t="s">
        <v>457</v>
      </c>
      <c r="C7" s="8" t="s">
        <v>458</v>
      </c>
      <c r="D7" s="9" t="s">
        <v>459</v>
      </c>
      <c r="E7" s="8" t="s">
        <v>106</v>
      </c>
      <c r="F7" s="9" t="s">
        <v>460</v>
      </c>
      <c r="G7" s="8" t="s">
        <v>461</v>
      </c>
      <c r="H7" s="9" t="s">
        <v>148</v>
      </c>
    </row>
    <row r="8" customFormat="false" ht="15" hidden="false" customHeight="false" outlineLevel="0" collapsed="false">
      <c r="A8" s="9" t="s">
        <v>456</v>
      </c>
      <c r="B8" s="8" t="s">
        <v>157</v>
      </c>
      <c r="C8" s="8" t="s">
        <v>462</v>
      </c>
      <c r="D8" s="8"/>
      <c r="E8" s="8" t="s">
        <v>188</v>
      </c>
      <c r="F8" s="9" t="s">
        <v>463</v>
      </c>
      <c r="G8" s="8" t="s">
        <v>464</v>
      </c>
      <c r="H8" s="9" t="s">
        <v>156</v>
      </c>
    </row>
    <row r="9" customFormat="false" ht="15" hidden="false" customHeight="false" outlineLevel="0" collapsed="false">
      <c r="A9" s="9" t="s">
        <v>456</v>
      </c>
      <c r="B9" s="8" t="s">
        <v>162</v>
      </c>
      <c r="C9" s="8" t="s">
        <v>438</v>
      </c>
      <c r="D9" s="8" t="s">
        <v>465</v>
      </c>
      <c r="E9" s="8" t="s">
        <v>188</v>
      </c>
      <c r="F9" s="9" t="s">
        <v>466</v>
      </c>
      <c r="G9" s="8" t="s">
        <v>467</v>
      </c>
      <c r="H9" s="9" t="s">
        <v>161</v>
      </c>
    </row>
    <row r="10" customFormat="false" ht="15" hidden="false" customHeight="false" outlineLevel="0" collapsed="false">
      <c r="A10" s="9" t="s">
        <v>456</v>
      </c>
      <c r="B10" s="8" t="s">
        <v>468</v>
      </c>
      <c r="C10" s="8" t="s">
        <v>458</v>
      </c>
      <c r="D10" s="9" t="s">
        <v>469</v>
      </c>
      <c r="E10" s="8" t="s">
        <v>106</v>
      </c>
      <c r="F10" s="9" t="s">
        <v>470</v>
      </c>
      <c r="G10" s="8" t="s">
        <v>471</v>
      </c>
      <c r="H10" s="9" t="s">
        <v>166</v>
      </c>
    </row>
    <row r="11" customFormat="false" ht="15" hidden="false" customHeight="false" outlineLevel="0" collapsed="false">
      <c r="A11" s="9" t="s">
        <v>456</v>
      </c>
      <c r="B11" s="8" t="s">
        <v>472</v>
      </c>
      <c r="C11" s="8" t="s">
        <v>449</v>
      </c>
      <c r="D11" s="8" t="s">
        <v>473</v>
      </c>
      <c r="E11" s="8" t="s">
        <v>188</v>
      </c>
      <c r="F11" s="9" t="s">
        <v>474</v>
      </c>
      <c r="G11" s="8" t="s">
        <v>475</v>
      </c>
      <c r="H11" s="9" t="s">
        <v>179</v>
      </c>
    </row>
    <row r="12" customFormat="false" ht="15" hidden="false" customHeight="false" outlineLevel="0" collapsed="false">
      <c r="A12" s="9" t="s">
        <v>456</v>
      </c>
      <c r="B12" s="8" t="s">
        <v>476</v>
      </c>
      <c r="C12" s="8" t="s">
        <v>449</v>
      </c>
      <c r="D12" s="9" t="s">
        <v>477</v>
      </c>
      <c r="E12" s="8" t="s">
        <v>188</v>
      </c>
      <c r="F12" s="9" t="s">
        <v>478</v>
      </c>
      <c r="G12" s="9" t="s">
        <v>479</v>
      </c>
      <c r="H12" s="9" t="s">
        <v>185</v>
      </c>
    </row>
    <row r="13" customFormat="false" ht="23.85" hidden="false" customHeight="false" outlineLevel="0" collapsed="false">
      <c r="A13" s="9" t="s">
        <v>480</v>
      </c>
      <c r="B13" s="8" t="s">
        <v>481</v>
      </c>
      <c r="C13" s="8" t="s">
        <v>458</v>
      </c>
      <c r="D13" s="9" t="s">
        <v>482</v>
      </c>
      <c r="E13" s="8" t="s">
        <v>106</v>
      </c>
      <c r="F13" s="9" t="s">
        <v>483</v>
      </c>
      <c r="G13" s="8" t="s">
        <v>484</v>
      </c>
      <c r="H13" s="9" t="s">
        <v>485</v>
      </c>
    </row>
    <row r="14" customFormat="false" ht="15" hidden="false" customHeight="false" outlineLevel="0" collapsed="false">
      <c r="A14" s="9" t="s">
        <v>480</v>
      </c>
      <c r="B14" s="8" t="s">
        <v>486</v>
      </c>
      <c r="C14" s="8" t="s">
        <v>487</v>
      </c>
      <c r="D14" s="9" t="s">
        <v>488</v>
      </c>
      <c r="E14" s="8" t="s">
        <v>106</v>
      </c>
      <c r="F14" s="9" t="s">
        <v>489</v>
      </c>
      <c r="G14" s="8" t="s">
        <v>490</v>
      </c>
      <c r="H14" s="9" t="s">
        <v>198</v>
      </c>
    </row>
    <row r="15" customFormat="false" ht="15" hidden="false" customHeight="false" outlineLevel="0" collapsed="false">
      <c r="A15" s="9" t="s">
        <v>480</v>
      </c>
      <c r="B15" s="8" t="s">
        <v>491</v>
      </c>
      <c r="C15" s="8" t="s">
        <v>462</v>
      </c>
      <c r="D15" s="8"/>
      <c r="E15" s="8" t="s">
        <v>188</v>
      </c>
      <c r="F15" s="9" t="s">
        <v>492</v>
      </c>
      <c r="G15" s="8" t="s">
        <v>493</v>
      </c>
      <c r="H15" s="9" t="s">
        <v>198</v>
      </c>
    </row>
    <row r="16" customFormat="false" ht="15" hidden="false" customHeight="false" outlineLevel="0" collapsed="false">
      <c r="A16" s="9" t="s">
        <v>494</v>
      </c>
      <c r="B16" s="8" t="s">
        <v>495</v>
      </c>
      <c r="C16" s="8" t="s">
        <v>487</v>
      </c>
      <c r="D16" s="9" t="s">
        <v>496</v>
      </c>
      <c r="E16" s="8" t="s">
        <v>106</v>
      </c>
      <c r="F16" s="9" t="s">
        <v>497</v>
      </c>
      <c r="G16" s="8" t="s">
        <v>343</v>
      </c>
      <c r="H16" s="9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4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7" t="s">
        <v>498</v>
      </c>
      <c r="B1" s="7" t="s">
        <v>499</v>
      </c>
      <c r="C1" s="7" t="s">
        <v>500</v>
      </c>
      <c r="D1" s="7" t="s">
        <v>501</v>
      </c>
      <c r="E1" s="7" t="s">
        <v>502</v>
      </c>
      <c r="F1" s="7" t="s">
        <v>503</v>
      </c>
    </row>
    <row r="2" customFormat="false" ht="15" hidden="false" customHeight="false" outlineLevel="0" collapsed="false">
      <c r="A2" s="9" t="s">
        <v>504</v>
      </c>
      <c r="B2" s="9" t="s">
        <v>505</v>
      </c>
      <c r="C2" s="8" t="s">
        <v>506</v>
      </c>
      <c r="D2" s="9" t="s">
        <v>507</v>
      </c>
      <c r="E2" s="8" t="s">
        <v>508</v>
      </c>
      <c r="F2" s="8" t="s">
        <v>509</v>
      </c>
    </row>
    <row r="3" customFormat="false" ht="15" hidden="false" customHeight="false" outlineLevel="0" collapsed="false">
      <c r="A3" s="9" t="s">
        <v>510</v>
      </c>
      <c r="B3" s="9" t="s">
        <v>511</v>
      </c>
      <c r="C3" s="8" t="s">
        <v>512</v>
      </c>
      <c r="D3" s="9" t="s">
        <v>507</v>
      </c>
      <c r="E3" s="8" t="s">
        <v>513</v>
      </c>
      <c r="F3" s="8" t="s">
        <v>514</v>
      </c>
    </row>
    <row r="4" customFormat="false" ht="15" hidden="false" customHeight="false" outlineLevel="0" collapsed="false">
      <c r="A4" s="9" t="s">
        <v>515</v>
      </c>
      <c r="B4" s="9" t="s">
        <v>516</v>
      </c>
      <c r="C4" s="8" t="s">
        <v>517</v>
      </c>
      <c r="D4" s="9" t="s">
        <v>507</v>
      </c>
      <c r="E4" s="9" t="s">
        <v>518</v>
      </c>
      <c r="F4" s="9" t="s">
        <v>519</v>
      </c>
    </row>
    <row r="5" customFormat="false" ht="15" hidden="false" customHeight="false" outlineLevel="0" collapsed="false">
      <c r="A5" s="9" t="s">
        <v>520</v>
      </c>
      <c r="B5" s="9" t="s">
        <v>521</v>
      </c>
      <c r="C5" s="8" t="s">
        <v>522</v>
      </c>
      <c r="D5" s="9" t="s">
        <v>507</v>
      </c>
      <c r="E5" s="8" t="s">
        <v>523</v>
      </c>
      <c r="F5" s="8" t="s">
        <v>524</v>
      </c>
    </row>
    <row r="6" customFormat="false" ht="15" hidden="false" customHeight="false" outlineLevel="0" collapsed="false">
      <c r="A6" s="9" t="s">
        <v>525</v>
      </c>
      <c r="B6" s="9" t="s">
        <v>526</v>
      </c>
      <c r="C6" s="8" t="s">
        <v>527</v>
      </c>
      <c r="D6" s="9" t="s">
        <v>528</v>
      </c>
      <c r="E6" s="8" t="s">
        <v>529</v>
      </c>
      <c r="F6" s="9" t="s">
        <v>519</v>
      </c>
    </row>
    <row r="7" customFormat="false" ht="15" hidden="false" customHeight="false" outlineLevel="0" collapsed="false">
      <c r="A7" s="9" t="s">
        <v>530</v>
      </c>
      <c r="B7" s="9" t="s">
        <v>531</v>
      </c>
      <c r="C7" s="8" t="s">
        <v>532</v>
      </c>
      <c r="D7" s="9" t="s">
        <v>528</v>
      </c>
      <c r="E7" s="8" t="s">
        <v>533</v>
      </c>
      <c r="F7" s="9" t="s">
        <v>519</v>
      </c>
    </row>
    <row r="8" customFormat="false" ht="15" hidden="false" customHeight="false" outlineLevel="0" collapsed="false">
      <c r="A8" s="9" t="s">
        <v>534</v>
      </c>
      <c r="B8" s="9" t="s">
        <v>535</v>
      </c>
      <c r="C8" s="8" t="s">
        <v>536</v>
      </c>
      <c r="D8" s="9" t="s">
        <v>519</v>
      </c>
      <c r="E8" s="8" t="s">
        <v>537</v>
      </c>
      <c r="F8" s="9" t="s">
        <v>519</v>
      </c>
    </row>
    <row r="9" customFormat="false" ht="15" hidden="false" customHeight="false" outlineLevel="0" collapsed="false">
      <c r="A9" s="8" t="s">
        <v>538</v>
      </c>
      <c r="B9" s="9" t="s">
        <v>539</v>
      </c>
      <c r="C9" s="8" t="s">
        <v>540</v>
      </c>
      <c r="D9" s="9" t="s">
        <v>507</v>
      </c>
      <c r="E9" s="8" t="s">
        <v>541</v>
      </c>
      <c r="F9" s="8" t="s">
        <v>542</v>
      </c>
    </row>
    <row r="10" customFormat="false" ht="15" hidden="false" customHeight="false" outlineLevel="0" collapsed="false">
      <c r="A10" s="9" t="s">
        <v>543</v>
      </c>
      <c r="B10" s="9" t="s">
        <v>519</v>
      </c>
      <c r="C10" s="8" t="s">
        <v>544</v>
      </c>
      <c r="D10" s="9" t="s">
        <v>519</v>
      </c>
      <c r="E10" s="8" t="s">
        <v>545</v>
      </c>
      <c r="F10" s="8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7" t="s">
        <v>547</v>
      </c>
      <c r="B1" s="7" t="s">
        <v>94</v>
      </c>
      <c r="C1" s="7" t="s">
        <v>548</v>
      </c>
      <c r="D1" s="7" t="s">
        <v>549</v>
      </c>
      <c r="E1" s="7" t="s">
        <v>550</v>
      </c>
    </row>
    <row r="2" customFormat="false" ht="15" hidden="false" customHeight="false" outlineLevel="0" collapsed="false">
      <c r="A2" s="8" t="s">
        <v>551</v>
      </c>
      <c r="B2" s="8" t="s">
        <v>106</v>
      </c>
      <c r="C2" s="9" t="s">
        <v>170</v>
      </c>
      <c r="D2" s="9" t="s">
        <v>552</v>
      </c>
      <c r="E2" s="8" t="s">
        <v>553</v>
      </c>
    </row>
    <row r="3" customFormat="false" ht="15" hidden="false" customHeight="false" outlineLevel="0" collapsed="false">
      <c r="A3" s="8" t="s">
        <v>554</v>
      </c>
      <c r="B3" s="8" t="s">
        <v>106</v>
      </c>
      <c r="C3" s="9" t="s">
        <v>190</v>
      </c>
      <c r="D3" s="9" t="s">
        <v>555</v>
      </c>
      <c r="E3" s="8" t="s">
        <v>553</v>
      </c>
    </row>
    <row r="4" customFormat="false" ht="15" hidden="false" customHeight="false" outlineLevel="0" collapsed="false">
      <c r="A4" s="8" t="s">
        <v>556</v>
      </c>
      <c r="B4" s="8" t="s">
        <v>106</v>
      </c>
      <c r="C4" s="9" t="s">
        <v>202</v>
      </c>
      <c r="D4" s="9" t="s">
        <v>557</v>
      </c>
      <c r="E4" s="8" t="s">
        <v>553</v>
      </c>
    </row>
    <row r="5" customFormat="false" ht="15" hidden="false" customHeight="false" outlineLevel="0" collapsed="false">
      <c r="A5" s="9" t="s">
        <v>558</v>
      </c>
      <c r="B5" s="8" t="s">
        <v>559</v>
      </c>
      <c r="C5" s="9" t="s">
        <v>378</v>
      </c>
      <c r="D5" s="9" t="s">
        <v>560</v>
      </c>
      <c r="E5" s="8" t="s">
        <v>553</v>
      </c>
    </row>
    <row r="6" customFormat="false" ht="15" hidden="false" customHeight="false" outlineLevel="0" collapsed="false">
      <c r="A6" s="8" t="s">
        <v>561</v>
      </c>
      <c r="B6" s="8" t="s">
        <v>559</v>
      </c>
      <c r="C6" s="9" t="s">
        <v>395</v>
      </c>
      <c r="D6" s="9" t="s">
        <v>390</v>
      </c>
      <c r="E6" s="8" t="s">
        <v>553</v>
      </c>
    </row>
    <row r="7" customFormat="false" ht="15" hidden="false" customHeight="false" outlineLevel="0" collapsed="false">
      <c r="A7" s="8" t="s">
        <v>562</v>
      </c>
      <c r="B7" s="8" t="s">
        <v>563</v>
      </c>
      <c r="C7" s="9" t="s">
        <v>402</v>
      </c>
      <c r="D7" s="9" t="s">
        <v>397</v>
      </c>
      <c r="E7" s="9" t="s">
        <v>564</v>
      </c>
    </row>
    <row r="8" customFormat="false" ht="15" hidden="false" customHeight="false" outlineLevel="0" collapsed="false">
      <c r="A8" s="8" t="s">
        <v>565</v>
      </c>
      <c r="B8" s="8" t="s">
        <v>566</v>
      </c>
      <c r="C8" s="9" t="s">
        <v>567</v>
      </c>
      <c r="D8" s="9" t="s">
        <v>421</v>
      </c>
      <c r="E8" s="8" t="s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2026-09-22T02:40:47Z</dcterms:created>
  <dc:creator>openpyxl</dc:creator>
  <dc:description/>
  <dc:language>en-US</dc:language>
  <cp:lastModifiedBy/>
  <dcterms:modified xsi:type="dcterms:W3CDTF">2026-09-22T02:40:47Z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