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표지" sheetId="1" state="visible" r:id="rId3"/>
    <sheet name="1. 공통 피처" sheetId="2" state="visible" r:id="rId4"/>
    <sheet name="2. 질환별 피처" sheetId="3" state="visible" r:id="rId5"/>
    <sheet name="3. 매트릭스" sheetId="4" state="visible" r:id="rId6"/>
    <sheet name="4. 밴드 기준값" sheetId="5" state="visible" r:id="rId7"/>
    <sheet name="5. 라벨 규칙" sheetId="6" state="visible" r:id="rId8"/>
    <sheet name="6. 근접도 지표" sheetId="7" state="visible" r:id="rId9"/>
    <sheet name="7. 건강 점수 합산" sheetId="8" state="visible" r:id="rId10"/>
    <sheet name="8. 온보딩 질문" sheetId="9" state="visible" r:id="rId11"/>
    <sheet name="9. 시나리오" sheetId="10" state="visible" r:id="rId12"/>
    <sheet name="10. 저장 스키마" sheetId="11" state="visible" r:id="rId13"/>
  </sheets>
  <definedNames>
    <definedName function="false" hidden="true" localSheetId="2" name="_xlnm._FilterDatabase" vbProcedure="false">'2. 질환별 피처'!$A$1:$I$74</definedName>
    <definedName function="false" hidden="true" localSheetId="8" name="_xlnm._FilterDatabase" vbProcedure="false">'8. 온보딩 질문'!$A$1:$N$42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<sst xmlns="http://schemas.openxmlformats.org/spreadsheetml/2006/main" count="2001" uniqueCount="1023">
  <si>
    <r>
      <rPr>
        <b val="true"/>
        <sz val="16"/>
        <rFont val="Arial"/>
        <family val="0"/>
        <charset val="1"/>
      </rPr>
      <t xml:space="preserve">AI </t>
    </r>
    <r>
      <rPr>
        <b val="true"/>
        <sz val="16"/>
        <rFont val="Noto Sans CJK SC"/>
        <family val="2"/>
      </rPr>
      <t xml:space="preserve">데이터 설계서 </t>
    </r>
    <r>
      <rPr>
        <b val="true"/>
        <sz val="16"/>
        <rFont val="Arial"/>
        <family val="0"/>
        <charset val="1"/>
      </rPr>
      <t xml:space="preserve">(</t>
    </r>
    <r>
      <rPr>
        <b val="true"/>
        <sz val="16"/>
        <rFont val="Noto Sans CJK SC"/>
        <family val="2"/>
      </rPr>
      <t xml:space="preserve">피처</t>
    </r>
    <r>
      <rPr>
        <b val="true"/>
        <sz val="16"/>
        <rFont val="Arial"/>
        <family val="0"/>
        <charset val="1"/>
      </rPr>
      <t xml:space="preserve">·</t>
    </r>
    <r>
      <rPr>
        <b val="true"/>
        <sz val="16"/>
        <rFont val="Noto Sans CJK SC"/>
        <family val="2"/>
      </rPr>
      <t xml:space="preserve">라벨</t>
    </r>
    <r>
      <rPr>
        <b val="true"/>
        <sz val="16"/>
        <rFont val="Arial"/>
        <family val="0"/>
        <charset val="1"/>
      </rPr>
      <t xml:space="preserve">·</t>
    </r>
    <r>
      <rPr>
        <b val="true"/>
        <sz val="16"/>
        <rFont val="Noto Sans CJK SC"/>
        <family val="2"/>
      </rPr>
      <t xml:space="preserve">근접도</t>
    </r>
    <r>
      <rPr>
        <b val="true"/>
        <sz val="16"/>
        <rFont val="Arial"/>
        <family val="0"/>
        <charset val="1"/>
      </rPr>
      <t xml:space="preserve">·</t>
    </r>
    <r>
      <rPr>
        <b val="true"/>
        <sz val="16"/>
        <rFont val="Noto Sans CJK SC"/>
        <family val="2"/>
      </rPr>
      <t xml:space="preserve">건강 점수</t>
    </r>
    <r>
      <rPr>
        <b val="true"/>
        <sz val="16"/>
        <rFont val="Arial"/>
        <family val="0"/>
        <charset val="1"/>
      </rPr>
      <t xml:space="preserve">·</t>
    </r>
    <r>
      <rPr>
        <b val="true"/>
        <sz val="16"/>
        <rFont val="Noto Sans CJK SC"/>
        <family val="2"/>
      </rPr>
      <t xml:space="preserve">온보딩 질문</t>
    </r>
    <r>
      <rPr>
        <b val="true"/>
        <sz val="16"/>
        <rFont val="Arial"/>
        <family val="0"/>
        <charset val="1"/>
      </rPr>
      <t xml:space="preserve">·</t>
    </r>
    <r>
      <rPr>
        <b val="true"/>
        <sz val="16"/>
        <rFont val="Noto Sans CJK SC"/>
        <family val="2"/>
      </rPr>
      <t xml:space="preserve">스키마 통합</t>
    </r>
    <r>
      <rPr>
        <b val="true"/>
        <sz val="16"/>
        <rFont val="Arial"/>
        <family val="0"/>
        <charset val="1"/>
      </rPr>
      <t xml:space="preserve">)</t>
    </r>
  </si>
  <si>
    <t xml:space="preserve">프로젝트</t>
  </si>
  <si>
    <r>
      <rPr>
        <sz val="10"/>
        <rFont val="Noto Sans CJK SC"/>
        <family val="2"/>
      </rPr>
      <t xml:space="preserve">만성질환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고혈압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당뇨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생활습관 챌린지 웹 서비스</t>
    </r>
  </si>
  <si>
    <t xml:space="preserve">팀</t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</si>
  <si>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헬스케어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기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팀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김종민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김채준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김태호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지세진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최성민</t>
    </r>
    <r>
      <rPr>
        <sz val="10"/>
        <rFont val="Arial"/>
        <family val="0"/>
        <charset val="1"/>
      </rPr>
      <t xml:space="preserve">) · </t>
    </r>
    <r>
      <rPr>
        <sz val="10"/>
        <rFont val="Noto Sans CJK SC"/>
        <family val="2"/>
      </rPr>
      <t xml:space="preserve">넥스트러너스</t>
    </r>
  </si>
  <si>
    <r>
      <rPr>
        <b val="true"/>
        <sz val="10"/>
        <rFont val="Noto Sans CJK SC"/>
        <family val="2"/>
      </rPr>
      <t xml:space="preserve">버전 </t>
    </r>
    <r>
      <rPr>
        <b val="true"/>
        <sz val="10"/>
        <rFont val="Arial"/>
        <family val="0"/>
        <charset val="1"/>
      </rPr>
      <t xml:space="preserve">/ </t>
    </r>
    <r>
      <rPr>
        <b val="true"/>
        <sz val="10"/>
        <rFont val="Noto Sans CJK SC"/>
        <family val="2"/>
      </rPr>
      <t xml:space="preserve">작성일</t>
    </r>
  </si>
  <si>
    <r>
      <rPr>
        <sz val="10"/>
        <rFont val="Arial"/>
        <family val="0"/>
        <charset val="1"/>
      </rPr>
      <t xml:space="preserve">v0.2 (</t>
    </r>
    <r>
      <rPr>
        <sz val="10"/>
        <rFont val="Noto Sans CJK SC"/>
        <family val="2"/>
      </rPr>
      <t xml:space="preserve">초안</t>
    </r>
    <r>
      <rPr>
        <sz val="10"/>
        <rFont val="Arial"/>
        <family val="0"/>
        <charset val="1"/>
      </rPr>
      <t xml:space="preserve">) / 2026-09-22 / AI </t>
    </r>
    <r>
      <rPr>
        <sz val="10"/>
        <rFont val="Noto Sans CJK SC"/>
        <family val="2"/>
      </rPr>
      <t xml:space="preserve">축 — </t>
    </r>
    <r>
      <rPr>
        <sz val="10"/>
        <rFont val="Arial"/>
        <family val="0"/>
        <charset val="1"/>
      </rPr>
      <t xml:space="preserve">v0.1 </t>
    </r>
    <r>
      <rPr>
        <sz val="10"/>
        <rFont val="Noto Sans CJK SC"/>
        <family val="2"/>
      </rPr>
      <t xml:space="preserve">피처 정의서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온보딩 질문 정의서 통합</t>
    </r>
    <r>
      <rPr>
        <sz val="10"/>
        <rFont val="Arial"/>
        <family val="0"/>
        <charset val="1"/>
      </rPr>
      <t xml:space="preserve">, 7. </t>
    </r>
    <r>
      <rPr>
        <sz val="10"/>
        <rFont val="Noto Sans CJK SC"/>
        <family val="2"/>
      </rPr>
      <t xml:space="preserve">건강 점수 합산 규칙 추가</t>
    </r>
  </si>
  <si>
    <t xml:space="preserve">근거 문서</t>
  </si>
  <si>
    <r>
      <rPr>
        <sz val="10"/>
        <rFont val="Noto Sans CJK SC"/>
        <family val="2"/>
      </rPr>
      <t xml:space="preserve">요구사항 정의서 </t>
    </r>
    <r>
      <rPr>
        <sz val="10"/>
        <rFont val="Arial"/>
        <family val="0"/>
        <charset val="1"/>
      </rPr>
      <t xml:space="preserve">v0.1 (FR-PRED-01·02, FR-USER-02~09), docs/datasets.md v0.1 §3·§4</t>
    </r>
  </si>
  <si>
    <t xml:space="preserve">시트 안내</t>
  </si>
  <si>
    <r>
      <rPr>
        <b val="true"/>
        <sz val="10"/>
        <rFont val="Arial"/>
        <family val="0"/>
        <charset val="1"/>
      </rPr>
      <t xml:space="preserve">1. </t>
    </r>
    <r>
      <rPr>
        <b val="true"/>
        <sz val="10"/>
        <rFont val="Noto Sans CJK SC"/>
        <family val="2"/>
      </rPr>
      <t xml:space="preserve">공통 피처</t>
    </r>
  </si>
  <si>
    <r>
      <rPr>
        <sz val="10"/>
        <rFont val="Noto Sans CJK SC"/>
        <family val="2"/>
      </rPr>
      <t xml:space="preserve">모든 위험도 모델에 공통으로 들어가는 기반 피처 정의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코드명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타입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값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출처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데이터셋 변수</t>
    </r>
    <r>
      <rPr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</si>
  <si>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2. </t>
    </r>
    <r>
      <rPr>
        <b val="true"/>
        <sz val="10"/>
        <rFont val="Noto Sans CJK SC"/>
        <family val="2"/>
      </rPr>
      <t xml:space="preserve">질환별 피처</t>
    </r>
  </si>
  <si>
    <r>
      <rPr>
        <sz val="10"/>
        <rFont val="Noto Sans CJK SC"/>
        <family val="2"/>
      </rPr>
      <t xml:space="preserve">질환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항목 롱 포맷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구분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모델 피처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라벨 정의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피처 제외</t>
    </r>
    <r>
      <rPr>
        <sz val="10"/>
        <rFont val="Arial"/>
        <family val="0"/>
        <charset val="1"/>
      </rPr>
      <t xml:space="preserve">) / </t>
    </r>
    <r>
      <rPr>
        <sz val="10"/>
        <rFont val="Noto Sans CJK SC"/>
        <family val="2"/>
      </rPr>
      <t xml:space="preserve">대시보드 밴드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퀘스트 축</t>
    </r>
  </si>
  <si>
    <r>
      <rPr>
        <b val="true"/>
        <sz val="10"/>
        <rFont val="Arial"/>
        <family val="0"/>
        <charset val="1"/>
      </rPr>
      <t xml:space="preserve">3. </t>
    </r>
    <r>
      <rPr>
        <b val="true"/>
        <sz val="10"/>
        <rFont val="Noto Sans CJK SC"/>
        <family val="2"/>
      </rPr>
      <t xml:space="preserve">매트릭스</t>
    </r>
  </si>
  <si>
    <r>
      <rPr>
        <sz val="10"/>
        <rFont val="Noto Sans CJK SC"/>
        <family val="2"/>
      </rPr>
      <t xml:space="preserve">질환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피처 한눈에 보기</t>
    </r>
    <r>
      <rPr>
        <sz val="10"/>
        <rFont val="Arial"/>
        <family val="0"/>
        <charset val="1"/>
      </rPr>
      <t xml:space="preserve">. ●</t>
    </r>
    <r>
      <rPr>
        <sz val="10"/>
        <rFont val="Noto Sans CJK SC"/>
        <family val="2"/>
      </rPr>
      <t xml:space="preserve">주요 ○보조 밴드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모델 미사용</t>
    </r>
  </si>
  <si>
    <r>
      <rPr>
        <b val="true"/>
        <sz val="10"/>
        <rFont val="Arial"/>
        <family val="0"/>
        <charset val="1"/>
      </rPr>
      <t xml:space="preserve">4. </t>
    </r>
    <r>
      <rPr>
        <b val="true"/>
        <sz val="10"/>
        <rFont val="Noto Sans CJK SC"/>
        <family val="2"/>
      </rPr>
      <t xml:space="preserve">밴드 기준값</t>
    </r>
  </si>
  <si>
    <r>
      <rPr>
        <sz val="10"/>
        <rFont val="Noto Sans CJK SC"/>
        <family val="2"/>
      </rPr>
      <t xml:space="preserve">대시보드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현재 상태 밴드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의 정상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주의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위험 경계값 </t>
    </r>
    <r>
      <rPr>
        <sz val="10"/>
        <rFont val="Arial"/>
        <family val="0"/>
        <charset val="1"/>
      </rPr>
      <t xml:space="preserve">(docs/thresholds.md </t>
    </r>
    <r>
      <rPr>
        <sz val="10"/>
        <rFont val="Noto Sans CJK SC"/>
        <family val="2"/>
      </rPr>
      <t xml:space="preserve">원본</t>
    </r>
    <r>
      <rPr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</si>
  <si>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5. </t>
    </r>
    <r>
      <rPr>
        <b val="true"/>
        <sz val="10"/>
        <rFont val="Noto Sans CJK SC"/>
        <family val="2"/>
      </rPr>
      <t xml:space="preserve">라벨 규칙</t>
    </r>
  </si>
  <si>
    <t xml:space="preserve">학회 기준 → 데이터셋 컬럼으로 만드는 라벨 정의와 누수 제외 변수</t>
  </si>
  <si>
    <r>
      <rPr>
        <b val="true"/>
        <sz val="10"/>
        <rFont val="Arial"/>
        <family val="0"/>
        <charset val="1"/>
      </rPr>
      <t xml:space="preserve">6. </t>
    </r>
    <r>
      <rPr>
        <b val="true"/>
        <sz val="10"/>
        <rFont val="Noto Sans CJK SC"/>
        <family val="2"/>
      </rPr>
      <t xml:space="preserve">근접도 지표</t>
    </r>
  </si>
  <si>
    <r>
      <rPr>
        <sz val="10"/>
        <rFont val="Noto Sans CJK SC"/>
        <family val="2"/>
      </rPr>
      <t xml:space="preserve">환자 판정 기준을 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로 두고 사용자가 얼마나 떨어져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넘어 있는지 계산하는 규칙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측정값 기반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결정적</t>
    </r>
    <r>
      <rPr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</si>
  <si>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7. </t>
    </r>
    <r>
      <rPr>
        <b val="true"/>
        <sz val="10"/>
        <rFont val="Noto Sans CJK SC"/>
        <family val="2"/>
      </rPr>
      <t xml:space="preserve">건강 점수 합산</t>
    </r>
  </si>
  <si>
    <r>
      <rPr>
        <sz val="10"/>
        <rFont val="Noto Sans CJK SC"/>
        <family val="2"/>
      </rPr>
      <t xml:space="preserve">근접도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측정값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와 </t>
    </r>
    <r>
      <rPr>
        <sz val="10"/>
        <rFont val="Arial"/>
        <family val="0"/>
        <charset val="1"/>
      </rPr>
      <t xml:space="preserve">ML </t>
    </r>
    <r>
      <rPr>
        <sz val="10"/>
        <rFont val="Noto Sans CJK SC"/>
        <family val="2"/>
      </rPr>
      <t xml:space="preserve">위험도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생활습관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를 질환당 점수 하나로 합치는 규칙과 표시 방식</t>
    </r>
  </si>
  <si>
    <r>
      <rPr>
        <b val="true"/>
        <sz val="10"/>
        <rFont val="Arial"/>
        <family val="0"/>
        <charset val="1"/>
      </rPr>
      <t xml:space="preserve">8. </t>
    </r>
    <r>
      <rPr>
        <b val="true"/>
        <sz val="10"/>
        <rFont val="Noto Sans CJK SC"/>
        <family val="2"/>
      </rPr>
      <t xml:space="preserve">온보딩 질문</t>
    </r>
  </si>
  <si>
    <r>
      <rPr>
        <sz val="10"/>
        <rFont val="Noto Sans CJK SC"/>
        <family val="2"/>
      </rPr>
      <t xml:space="preserve">조건부 분기 질문 시드 </t>
    </r>
    <r>
      <rPr>
        <sz val="10"/>
        <rFont val="Arial"/>
        <family val="0"/>
        <charset val="1"/>
      </rPr>
      <t xml:space="preserve">41</t>
    </r>
    <r>
      <rPr>
        <sz val="10"/>
        <rFont val="Noto Sans CJK SC"/>
        <family val="2"/>
      </rPr>
      <t xml:space="preserve">문항 </t>
    </r>
    <r>
      <rPr>
        <sz val="10"/>
        <rFont val="Arial"/>
        <family val="0"/>
        <charset val="1"/>
      </rPr>
      <t xml:space="preserve">(onboarding_questions </t>
    </r>
    <r>
      <rPr>
        <sz val="10"/>
        <rFont val="Noto Sans CJK SC"/>
        <family val="2"/>
      </rPr>
      <t xml:space="preserve">테이블</t>
    </r>
    <r>
      <rPr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</si>
  <si>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9. </t>
    </r>
    <r>
      <rPr>
        <b val="true"/>
        <sz val="10"/>
        <rFont val="Noto Sans CJK SC"/>
        <family val="2"/>
      </rPr>
      <t xml:space="preserve">시나리오</t>
    </r>
  </si>
  <si>
    <r>
      <rPr>
        <sz val="10"/>
        <rFont val="Noto Sans CJK SC"/>
        <family val="2"/>
      </rPr>
      <t xml:space="preserve">페르소나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종별 표시 질문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화면 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켜지는 카드</t>
    </r>
  </si>
  <si>
    <r>
      <rPr>
        <b val="true"/>
        <sz val="10"/>
        <rFont val="Arial"/>
        <family val="0"/>
        <charset val="1"/>
      </rPr>
      <t xml:space="preserve">10. </t>
    </r>
    <r>
      <rPr>
        <b val="true"/>
        <sz val="10"/>
        <rFont val="Noto Sans CJK SC"/>
        <family val="2"/>
      </rPr>
      <t xml:space="preserve">저장 스키마</t>
    </r>
  </si>
  <si>
    <r>
      <rPr>
        <sz val="10"/>
        <rFont val="Noto Sans CJK SC"/>
        <family val="2"/>
      </rPr>
      <t xml:space="preserve">온보딩 답 → 테이블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컬럼 매핑 </t>
    </r>
    <r>
      <rPr>
        <sz val="10"/>
        <rFont val="Arial"/>
        <family val="0"/>
        <charset val="1"/>
      </rPr>
      <t xml:space="preserve">(ERD </t>
    </r>
    <r>
      <rPr>
        <sz val="10"/>
        <rFont val="Noto Sans CJK SC"/>
        <family val="2"/>
      </rPr>
      <t xml:space="preserve">입력</t>
    </r>
    <r>
      <rPr>
        <sz val="10"/>
        <rFont val="Arial"/>
        <family val="0"/>
        <charset val="1"/>
      </rPr>
      <t xml:space="preserve">)</t>
    </r>
  </si>
  <si>
    <t xml:space="preserve">원칙</t>
  </si>
  <si>
    <r>
      <rPr>
        <sz val="10"/>
        <rFont val="Noto Sans CJK SC"/>
        <family val="2"/>
      </rPr>
      <t xml:space="preserve">라벨을 만든 측정값은 그 질환의 모델 피처에 넣지 않는다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라벨 누수 방지</t>
    </r>
    <r>
      <rPr>
        <sz val="10"/>
        <rFont val="Arial"/>
        <family val="0"/>
        <charset val="1"/>
      </rPr>
      <t xml:space="preserve">). </t>
    </r>
    <r>
      <rPr>
        <sz val="10"/>
        <rFont val="Noto Sans CJK SC"/>
        <family val="2"/>
      </rPr>
      <t xml:space="preserve">측정값은 대시보드 밴드로만 사용한다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피처 세트는 전 질환 공통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질환별 추가 </t>
    </r>
    <r>
      <rPr>
        <sz val="10"/>
        <rFont val="Arial"/>
        <family val="0"/>
        <charset val="1"/>
      </rPr>
      <t xml:space="preserve">2~3</t>
    </r>
    <r>
      <rPr>
        <sz val="10"/>
        <rFont val="Noto Sans CJK SC"/>
        <family val="2"/>
      </rPr>
      <t xml:space="preserve">개로 고정해 전처리 파이프라인을 하나로 유지한다</t>
    </r>
    <r>
      <rPr>
        <sz val="10"/>
        <rFont val="Arial"/>
        <family val="0"/>
        <charset val="1"/>
      </rPr>
      <t xml:space="preserve">.</t>
    </r>
  </si>
  <si>
    <t xml:space="preserve">색 범례</t>
  </si>
  <si>
    <r>
      <rPr>
        <sz val="10"/>
        <rFont val="Noto Sans CJK SC"/>
        <family val="2"/>
      </rPr>
      <t xml:space="preserve">초록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주요 피처 ●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노랑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보조 피처 ○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파랑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대시보드 밴드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판정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모델 미사용</t>
    </r>
    <r>
      <rPr>
        <sz val="10"/>
        <rFont val="Arial"/>
        <family val="0"/>
        <charset val="1"/>
      </rPr>
      <t xml:space="preserve">) / </t>
    </r>
    <r>
      <rPr>
        <sz val="10"/>
        <rFont val="Noto Sans CJK SC"/>
        <family val="2"/>
      </rPr>
      <t xml:space="preserve">주황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라벨 정의 변수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피처 제외</t>
    </r>
    <r>
      <rPr>
        <sz val="10"/>
        <rFont val="Arial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</si>
  <si>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요약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자동 계산</t>
    </r>
    <r>
      <rPr>
        <b val="true"/>
        <sz val="10"/>
        <rFont val="Arial"/>
        <family val="0"/>
        <charset val="1"/>
      </rPr>
      <t xml:space="preserve">)</t>
    </r>
  </si>
  <si>
    <t xml:space="preserve">공통 피처 수</t>
  </si>
  <si>
    <t xml:space="preserve">질환별 항목 수</t>
  </si>
  <si>
    <t xml:space="preserve">모델 피처 행 수</t>
  </si>
  <si>
    <r>
      <rPr>
        <b val="true"/>
        <sz val="10"/>
        <rFont val="Noto Sans CJK SC"/>
        <family val="2"/>
      </rPr>
      <t xml:space="preserve">라벨 정의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제외</t>
    </r>
    <r>
      <rPr>
        <b val="true"/>
        <sz val="10"/>
        <rFont val="Arial"/>
        <family val="0"/>
        <charset val="1"/>
      </rPr>
      <t xml:space="preserve">) </t>
    </r>
    <r>
      <rPr>
        <b val="true"/>
        <sz val="10"/>
        <rFont val="Noto Sans CJK SC"/>
        <family val="2"/>
      </rPr>
      <t xml:space="preserve">행 수</t>
    </r>
  </si>
  <si>
    <t xml:space="preserve">온보딩 질문 수</t>
  </si>
  <si>
    <t xml:space="preserve">온보딩 필수 질문 수</t>
  </si>
  <si>
    <t xml:space="preserve">코드명</t>
  </si>
  <si>
    <t xml:space="preserve">피처</t>
  </si>
  <si>
    <t xml:space="preserve">타입</t>
  </si>
  <si>
    <r>
      <rPr>
        <b val="true"/>
        <sz val="10"/>
        <color rgb="FFFFFFFF"/>
        <rFont val="Noto Sans CJK SC"/>
        <family val="2"/>
      </rPr>
      <t xml:space="preserve">값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단위</t>
    </r>
  </si>
  <si>
    <t xml:space="preserve">온보딩 입력 출처</t>
  </si>
  <si>
    <t xml:space="preserve">D1 KNHANES</t>
  </si>
  <si>
    <r>
      <rPr>
        <b val="true"/>
        <sz val="10"/>
        <color rgb="FFFFFFFF"/>
        <rFont val="Arial"/>
        <family val="0"/>
        <charset val="1"/>
      </rPr>
      <t xml:space="preserve">D2 </t>
    </r>
    <r>
      <rPr>
        <b val="true"/>
        <sz val="10"/>
        <color rgb="FFFFFFFF"/>
        <rFont val="Noto Sans CJK SC"/>
        <family val="2"/>
      </rPr>
      <t xml:space="preserve">건강검진정보</t>
    </r>
  </si>
  <si>
    <t xml:space="preserve">D3 BRFSS 2015</t>
  </si>
  <si>
    <t xml:space="preserve">D4 NHANES</t>
  </si>
  <si>
    <t xml:space="preserve">결측 처리</t>
  </si>
  <si>
    <t xml:space="preserve">비고</t>
  </si>
  <si>
    <t xml:space="preserve">age</t>
  </si>
  <si>
    <t xml:space="preserve">나이</t>
  </si>
  <si>
    <t xml:space="preserve">int</t>
  </si>
  <si>
    <r>
      <rPr>
        <sz val="10"/>
        <rFont val="Noto Sans CJK SC"/>
        <family val="2"/>
      </rPr>
      <t xml:space="preserve">세 </t>
    </r>
    <r>
      <rPr>
        <sz val="10"/>
        <rFont val="Arial"/>
        <family val="0"/>
        <charset val="1"/>
      </rPr>
      <t xml:space="preserve">(19~100)</t>
    </r>
  </si>
  <si>
    <t xml:space="preserve">생년</t>
  </si>
  <si>
    <r>
      <rPr>
        <sz val="10"/>
        <rFont val="Noto Sans CJK SC"/>
        <family val="2"/>
      </rPr>
      <t xml:space="preserve">연령대코드 →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세 구간 중앙값</t>
    </r>
  </si>
  <si>
    <r>
      <rPr>
        <sz val="10"/>
        <rFont val="Arial"/>
        <family val="0"/>
        <charset val="1"/>
      </rPr>
      <t xml:space="preserve">Age(13</t>
    </r>
    <r>
      <rPr>
        <sz val="10"/>
        <rFont val="Noto Sans CJK SC"/>
        <family val="2"/>
      </rPr>
      <t xml:space="preserve">구간</t>
    </r>
    <r>
      <rPr>
        <sz val="10"/>
        <rFont val="Arial"/>
        <family val="0"/>
        <charset val="1"/>
      </rPr>
      <t xml:space="preserve">) → </t>
    </r>
    <r>
      <rPr>
        <sz val="10"/>
        <rFont val="Noto Sans CJK SC"/>
        <family val="2"/>
      </rPr>
      <t xml:space="preserve">중앙값</t>
    </r>
  </si>
  <si>
    <t xml:space="preserve">RIDAGEYR</t>
  </si>
  <si>
    <r>
      <rPr>
        <sz val="10"/>
        <rFont val="Noto Sans CJK SC"/>
        <family val="2"/>
      </rPr>
      <t xml:space="preserve">필수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결측 없음</t>
    </r>
  </si>
  <si>
    <t xml:space="preserve">sex</t>
  </si>
  <si>
    <t xml:space="preserve">성별</t>
  </si>
  <si>
    <t xml:space="preserve">cat</t>
  </si>
  <si>
    <t xml:space="preserve">male / female</t>
  </si>
  <si>
    <t xml:space="preserve">성별코드</t>
  </si>
  <si>
    <t xml:space="preserve">Sex</t>
  </si>
  <si>
    <t xml:space="preserve">RIAGENDR</t>
  </si>
  <si>
    <t xml:space="preserve">필수</t>
  </si>
  <si>
    <t xml:space="preserve">bmi</t>
  </si>
  <si>
    <t xml:space="preserve">체질량지수</t>
  </si>
  <si>
    <t xml:space="preserve">float</t>
  </si>
  <si>
    <r>
      <rPr>
        <sz val="10"/>
        <rFont val="Arial"/>
        <family val="0"/>
        <charset val="1"/>
      </rPr>
      <t xml:space="preserve">kg/m² (</t>
    </r>
    <r>
      <rPr>
        <sz val="10"/>
        <rFont val="Noto Sans CJK SC"/>
        <family val="2"/>
      </rPr>
      <t xml:space="preserve">소수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자리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</si>
  <si>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키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몸무게 → 서버 계산</t>
    </r>
  </si>
  <si>
    <t xml:space="preserve">HE_BMI</t>
  </si>
  <si>
    <r>
      <rPr>
        <sz val="10"/>
        <rFont val="Noto Sans CJK SC"/>
        <family val="2"/>
      </rPr>
      <t xml:space="preserve">신장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체중</t>
    </r>
    <r>
      <rPr>
        <sz val="10"/>
        <rFont val="Arial"/>
        <family val="0"/>
        <charset val="1"/>
      </rPr>
      <t xml:space="preserve">(5</t>
    </r>
    <r>
      <rPr>
        <sz val="10"/>
        <rFont val="Noto Sans CJK SC"/>
        <family val="2"/>
      </rPr>
      <t xml:space="preserve">단위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로 계산</t>
    </r>
  </si>
  <si>
    <t xml:space="preserve">BMI</t>
  </si>
  <si>
    <t xml:space="preserve">BMXBMI</t>
  </si>
  <si>
    <r>
      <rPr>
        <sz val="10"/>
        <rFont val="Arial"/>
        <family val="0"/>
        <charset val="1"/>
      </rPr>
      <t xml:space="preserve">D2</t>
    </r>
    <r>
      <rPr>
        <sz val="10"/>
        <rFont val="Noto Sans CJK SC"/>
        <family val="2"/>
      </rPr>
      <t xml:space="preserve">는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단위라 거칠음</t>
    </r>
  </si>
  <si>
    <t xml:space="preserve">waist_cm</t>
  </si>
  <si>
    <t xml:space="preserve">허리둘레</t>
  </si>
  <si>
    <t xml:space="preserve">cm (40~200)</t>
  </si>
  <si>
    <r>
      <rPr>
        <sz val="10"/>
        <rFont val="Noto Sans CJK SC"/>
        <family val="2"/>
      </rPr>
      <t xml:space="preserve">줄자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선택</t>
    </r>
    <r>
      <rPr>
        <sz val="10"/>
        <rFont val="Arial"/>
        <family val="0"/>
        <charset val="1"/>
      </rPr>
      <t xml:space="preserve">)</t>
    </r>
  </si>
  <si>
    <t xml:space="preserve">HE_wc</t>
  </si>
  <si>
    <t xml:space="preserve">—</t>
  </si>
  <si>
    <t xml:space="preserve">BMXWAIST</t>
  </si>
  <si>
    <r>
      <rPr>
        <sz val="10"/>
        <rFont val="Noto Sans CJK SC"/>
        <family val="2"/>
      </rPr>
      <t xml:space="preserve">중앙값 대치 </t>
    </r>
    <r>
      <rPr>
        <sz val="10"/>
        <rFont val="Arial"/>
        <family val="0"/>
        <charset val="1"/>
      </rPr>
      <t xml:space="preserve">+ is_waist_missing </t>
    </r>
    <r>
      <rPr>
        <sz val="10"/>
        <rFont val="Noto Sans CJK SC"/>
        <family val="2"/>
      </rPr>
      <t xml:space="preserve">플래그</t>
    </r>
  </si>
  <si>
    <t xml:space="preserve">대사증후군 판정에도 사용</t>
  </si>
  <si>
    <t xml:space="preserve">smoking</t>
  </si>
  <si>
    <t xml:space="preserve">흡연</t>
  </si>
  <si>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비흡연 </t>
    </r>
    <r>
      <rPr>
        <sz val="10"/>
        <rFont val="Arial"/>
        <family val="0"/>
        <charset val="1"/>
      </rPr>
      <t xml:space="preserve">/ 1 </t>
    </r>
    <r>
      <rPr>
        <sz val="10"/>
        <rFont val="Noto Sans CJK SC"/>
        <family val="2"/>
      </rPr>
      <t xml:space="preserve">과거 </t>
    </r>
    <r>
      <rPr>
        <sz val="10"/>
        <rFont val="Arial"/>
        <family val="0"/>
        <charset val="1"/>
      </rPr>
      <t xml:space="preserve">/ 2 </t>
    </r>
    <r>
      <rPr>
        <sz val="10"/>
        <rFont val="Noto Sans CJK SC"/>
        <family val="2"/>
      </rPr>
      <t xml:space="preserve">현재</t>
    </r>
  </si>
  <si>
    <t xml:space="preserve">생활습관 설문</t>
  </si>
  <si>
    <r>
      <rPr>
        <sz val="10"/>
        <rFont val="Arial"/>
        <family val="0"/>
        <charset val="1"/>
      </rPr>
      <t xml:space="preserve">BS3_1 </t>
    </r>
    <r>
      <rPr>
        <sz val="10"/>
        <rFont val="Noto Sans CJK SC"/>
        <family val="2"/>
      </rPr>
      <t xml:space="preserve">등 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확인 필요</t>
    </r>
    <r>
      <rPr>
        <sz val="10"/>
        <rFont val="Arial"/>
        <family val="0"/>
        <charset val="1"/>
      </rPr>
      <t xml:space="preserve">]</t>
    </r>
  </si>
  <si>
    <r>
      <rPr>
        <sz val="10"/>
        <rFont val="Noto Sans CJK SC"/>
        <family val="2"/>
      </rPr>
      <t xml:space="preserve">흡연상태</t>
    </r>
    <r>
      <rPr>
        <sz val="10"/>
        <rFont val="Arial"/>
        <family val="0"/>
        <charset val="1"/>
      </rPr>
      <t xml:space="preserve">(1/2/3)</t>
    </r>
  </si>
  <si>
    <r>
      <rPr>
        <sz val="10"/>
        <rFont val="Arial"/>
        <family val="0"/>
        <charset val="1"/>
      </rPr>
      <t xml:space="preserve">Smoker(0/1) → 0 </t>
    </r>
    <r>
      <rPr>
        <sz val="10"/>
        <rFont val="Noto Sans CJK SC"/>
        <family val="2"/>
      </rPr>
      <t xml:space="preserve">또는 </t>
    </r>
    <r>
      <rPr>
        <sz val="10"/>
        <rFont val="Arial"/>
        <family val="0"/>
        <charset val="1"/>
      </rPr>
      <t xml:space="preserve">2</t>
    </r>
  </si>
  <si>
    <t xml:space="preserve">SMQ020·SMQ040</t>
  </si>
  <si>
    <t xml:space="preserve">alcohol_freq</t>
  </si>
  <si>
    <t xml:space="preserve">음주 빈도</t>
  </si>
  <si>
    <r>
      <rPr>
        <sz val="10"/>
        <rFont val="Noto Sans CJK SC"/>
        <family val="2"/>
      </rPr>
      <t xml:space="preserve">주 </t>
    </r>
    <r>
      <rPr>
        <sz val="10"/>
        <rFont val="Arial"/>
        <family val="0"/>
        <charset val="1"/>
      </rPr>
      <t xml:space="preserve">n</t>
    </r>
    <r>
      <rPr>
        <sz val="10"/>
        <rFont val="Noto Sans CJK SC"/>
        <family val="2"/>
      </rPr>
      <t xml:space="preserve">회 </t>
    </r>
    <r>
      <rPr>
        <sz val="10"/>
        <rFont val="Arial"/>
        <family val="0"/>
        <charset val="1"/>
      </rPr>
      <t xml:space="preserve">(0~7)</t>
    </r>
  </si>
  <si>
    <r>
      <rPr>
        <sz val="10"/>
        <rFont val="Arial"/>
        <family val="0"/>
        <charset val="1"/>
      </rPr>
      <t xml:space="preserve">BD1_11 [</t>
    </r>
    <r>
      <rPr>
        <sz val="10"/>
        <rFont val="Noto Sans CJK SC"/>
        <family val="2"/>
      </rPr>
      <t xml:space="preserve">확인 필요</t>
    </r>
    <r>
      <rPr>
        <sz val="10"/>
        <rFont val="Arial"/>
        <family val="0"/>
        <charset val="1"/>
      </rPr>
      <t xml:space="preserve">]</t>
    </r>
  </si>
  <si>
    <r>
      <rPr>
        <sz val="10"/>
        <rFont val="Noto Sans CJK SC"/>
        <family val="2"/>
      </rPr>
      <t xml:space="preserve">음주여부</t>
    </r>
    <r>
      <rPr>
        <sz val="10"/>
        <rFont val="Arial"/>
        <family val="0"/>
        <charset val="1"/>
      </rPr>
      <t xml:space="preserve">(0/1)</t>
    </r>
  </si>
  <si>
    <t xml:space="preserve">HvyAlcoholConsump(0/1)</t>
  </si>
  <si>
    <t xml:space="preserve">ALQ121·ALQ130</t>
  </si>
  <si>
    <r>
      <rPr>
        <sz val="10"/>
        <rFont val="Arial"/>
        <family val="0"/>
        <charset val="1"/>
      </rPr>
      <t xml:space="preserve">D2·D3</t>
    </r>
    <r>
      <rPr>
        <sz val="10"/>
        <rFont val="Noto Sans CJK SC"/>
        <family val="2"/>
      </rPr>
      <t xml:space="preserve">는 이진 → </t>
    </r>
    <r>
      <rPr>
        <sz val="10"/>
        <rFont val="Arial"/>
        <family val="0"/>
        <charset val="1"/>
      </rPr>
      <t xml:space="preserve">0/3</t>
    </r>
    <r>
      <rPr>
        <sz val="10"/>
        <rFont val="Noto Sans CJK SC"/>
        <family val="2"/>
      </rPr>
      <t xml:space="preserve">회로 근사</t>
    </r>
  </si>
  <si>
    <t xml:space="preserve">exercise_freq</t>
  </si>
  <si>
    <t xml:space="preserve">운동 빈도</t>
  </si>
  <si>
    <r>
      <rPr>
        <sz val="10"/>
        <rFont val="Noto Sans CJK SC"/>
        <family val="2"/>
      </rPr>
      <t xml:space="preserve">주 </t>
    </r>
    <r>
      <rPr>
        <sz val="10"/>
        <rFont val="Arial"/>
        <family val="0"/>
        <charset val="1"/>
      </rPr>
      <t xml:space="preserve">n</t>
    </r>
    <r>
      <rPr>
        <sz val="10"/>
        <rFont val="Noto Sans CJK SC"/>
        <family val="2"/>
      </rPr>
      <t xml:space="preserve">회</t>
    </r>
    <r>
      <rPr>
        <sz val="10"/>
        <rFont val="Arial"/>
        <family val="0"/>
        <charset val="1"/>
      </rPr>
      <t xml:space="preserve">, 30</t>
    </r>
    <r>
      <rPr>
        <sz val="10"/>
        <rFont val="Noto Sans CJK SC"/>
        <family val="2"/>
      </rPr>
      <t xml:space="preserve">분 이상 </t>
    </r>
    <r>
      <rPr>
        <sz val="10"/>
        <rFont val="Arial"/>
        <family val="0"/>
        <charset val="1"/>
      </rPr>
      <t xml:space="preserve">(0~7)</t>
    </r>
  </si>
  <si>
    <r>
      <rPr>
        <sz val="10"/>
        <rFont val="Arial"/>
        <family val="0"/>
        <charset val="1"/>
      </rPr>
      <t xml:space="preserve">BE3_31 </t>
    </r>
    <r>
      <rPr>
        <sz val="10"/>
        <rFont val="Noto Sans CJK SC"/>
        <family val="2"/>
      </rPr>
      <t xml:space="preserve">걷기 일수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중강도 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확인 필요</t>
    </r>
    <r>
      <rPr>
        <sz val="10"/>
        <rFont val="Arial"/>
        <family val="0"/>
        <charset val="1"/>
      </rPr>
      <t xml:space="preserve">]</t>
    </r>
  </si>
  <si>
    <t xml:space="preserve">PhysActivity(0/1)</t>
  </si>
  <si>
    <r>
      <rPr>
        <sz val="10"/>
        <rFont val="Arial"/>
        <family val="0"/>
        <charset val="1"/>
      </rPr>
      <t xml:space="preserve">PAQ </t>
    </r>
    <r>
      <rPr>
        <sz val="10"/>
        <rFont val="Noto Sans CJK SC"/>
        <family val="2"/>
      </rPr>
      <t xml:space="preserve">계열</t>
    </r>
  </si>
  <si>
    <t xml:space="preserve">sleep_hours</t>
  </si>
  <si>
    <t xml:space="preserve">평균 수면시간</t>
  </si>
  <si>
    <r>
      <rPr>
        <sz val="10"/>
        <rFont val="Noto Sans CJK SC"/>
        <family val="2"/>
      </rPr>
      <t xml:space="preserve">시간 </t>
    </r>
    <r>
      <rPr>
        <sz val="10"/>
        <rFont val="Arial"/>
        <family val="0"/>
        <charset val="1"/>
      </rPr>
      <t xml:space="preserve">(3~12)</t>
    </r>
  </si>
  <si>
    <r>
      <rPr>
        <sz val="10"/>
        <rFont val="Arial"/>
        <family val="0"/>
        <charset val="1"/>
      </rPr>
      <t xml:space="preserve">Total_slp_wk [</t>
    </r>
    <r>
      <rPr>
        <sz val="10"/>
        <rFont val="Noto Sans CJK SC"/>
        <family val="2"/>
      </rPr>
      <t xml:space="preserve">확인 필요</t>
    </r>
    <r>
      <rPr>
        <sz val="10"/>
        <rFont val="Arial"/>
        <family val="0"/>
        <charset val="1"/>
      </rPr>
      <t xml:space="preserve">]</t>
    </r>
  </si>
  <si>
    <t xml:space="preserve">SLD012</t>
  </si>
  <si>
    <t xml:space="preserve">fh_htn</t>
  </si>
  <si>
    <t xml:space="preserve">가족력 고혈압</t>
  </si>
  <si>
    <t xml:space="preserve">bool</t>
  </si>
  <si>
    <t xml:space="preserve">0/1</t>
  </si>
  <si>
    <t xml:space="preserve">가족력 다중선택</t>
  </si>
  <si>
    <t xml:space="preserve">HE_HPfh1~3 OR</t>
  </si>
  <si>
    <r>
      <rPr>
        <sz val="10"/>
        <rFont val="Noto Sans CJK SC"/>
        <family val="2"/>
      </rPr>
      <t xml:space="preserve">필수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없음 가능</t>
    </r>
    <r>
      <rPr>
        <sz val="10"/>
        <rFont val="Arial"/>
        <family val="0"/>
        <charset val="1"/>
      </rPr>
      <t xml:space="preserve">)</t>
    </r>
  </si>
  <si>
    <t xml:space="preserve">fh_dm</t>
  </si>
  <si>
    <t xml:space="preserve">가족력 당뇨</t>
  </si>
  <si>
    <t xml:space="preserve">HE_DMfh1~3 OR</t>
  </si>
  <si>
    <t xml:space="preserve">MCQ300C</t>
  </si>
  <si>
    <t xml:space="preserve">fh_kidney</t>
  </si>
  <si>
    <t xml:space="preserve">가족력 신장질환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</si>
  <si>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확인 필요</t>
    </r>
    <r>
      <rPr>
        <sz val="10"/>
        <rFont val="Arial"/>
        <family val="0"/>
        <charset val="1"/>
      </rPr>
      <t xml:space="preserve">]</t>
    </r>
  </si>
  <si>
    <r>
      <rPr>
        <sz val="10"/>
        <rFont val="Arial"/>
        <family val="0"/>
        <charset val="1"/>
      </rPr>
      <t xml:space="preserve">CKD </t>
    </r>
    <r>
      <rPr>
        <sz val="10"/>
        <rFont val="Noto Sans CJK SC"/>
        <family val="2"/>
      </rPr>
      <t xml:space="preserve">모델에서만</t>
    </r>
  </si>
  <si>
    <t xml:space="preserve">has_htn</t>
  </si>
  <si>
    <t xml:space="preserve">고혈압 진단 여부</t>
  </si>
  <si>
    <t xml:space="preserve">진단 질환 다중선택</t>
  </si>
  <si>
    <t xml:space="preserve">DI1_dg</t>
  </si>
  <si>
    <t xml:space="preserve">HighBP</t>
  </si>
  <si>
    <t xml:space="preserve">BPQ020</t>
  </si>
  <si>
    <r>
      <rPr>
        <sz val="10"/>
        <rFont val="Noto Sans CJK SC"/>
        <family val="2"/>
      </rPr>
      <t xml:space="preserve">타 질환 모델의 피처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고혈압 모델에서는 라벨이므로 제외</t>
    </r>
  </si>
  <si>
    <t xml:space="preserve">has_dm</t>
  </si>
  <si>
    <t xml:space="preserve">당뇨 진단 여부</t>
  </si>
  <si>
    <t xml:space="preserve">DE1_dg</t>
  </si>
  <si>
    <t xml:space="preserve">Diabetes_012=2</t>
  </si>
  <si>
    <t xml:space="preserve">DIQ010</t>
  </si>
  <si>
    <t xml:space="preserve">당뇨 모델에서는 라벨이므로 제외</t>
  </si>
  <si>
    <t xml:space="preserve">ls_activity</t>
  </si>
  <si>
    <r>
      <rPr>
        <sz val="10"/>
        <rFont val="Noto Sans CJK SC"/>
        <family val="2"/>
      </rPr>
      <t xml:space="preserve">생활습관 점수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활동</t>
    </r>
  </si>
  <si>
    <r>
      <rPr>
        <sz val="10"/>
        <rFont val="Arial"/>
        <family val="0"/>
        <charset val="1"/>
      </rPr>
      <t xml:space="preserve">0~1 (</t>
    </r>
    <r>
      <rPr>
        <sz val="10"/>
        <rFont val="Noto Sans CJK SC"/>
        <family val="2"/>
      </rPr>
      <t xml:space="preserve">최근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일</t>
    </r>
    <r>
      <rPr>
        <sz val="10"/>
        <rFont val="Arial"/>
        <family val="0"/>
        <charset val="1"/>
      </rPr>
      <t xml:space="preserve">)</t>
    </r>
  </si>
  <si>
    <t xml:space="preserve">퀘스트 완료 기록 → 계산</t>
  </si>
  <si>
    <r>
      <rPr>
        <sz val="10"/>
        <rFont val="Noto Sans CJK SC"/>
        <family val="2"/>
      </rPr>
      <t xml:space="preserve">걷기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중강도 항목 정규화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대리값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</si>
  <si>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PhysActivity </t>
    </r>
    <r>
      <rPr>
        <sz val="10"/>
        <rFont val="Noto Sans CJK SC"/>
        <family val="2"/>
      </rPr>
      <t xml:space="preserve">대리</t>
    </r>
  </si>
  <si>
    <r>
      <rPr>
        <sz val="10"/>
        <rFont val="Arial"/>
        <family val="0"/>
        <charset val="1"/>
      </rPr>
      <t xml:space="preserve">PAQ </t>
    </r>
    <r>
      <rPr>
        <sz val="10"/>
        <rFont val="Noto Sans CJK SC"/>
        <family val="2"/>
      </rPr>
      <t xml:space="preserve">대리</t>
    </r>
  </si>
  <si>
    <r>
      <rPr>
        <sz val="10"/>
        <rFont val="Noto Sans CJK SC"/>
        <family val="2"/>
      </rPr>
      <t xml:space="preserve">신규 가입 시 </t>
    </r>
    <r>
      <rPr>
        <sz val="10"/>
        <rFont val="Arial"/>
        <family val="0"/>
        <charset val="1"/>
      </rPr>
      <t xml:space="preserve">exercise_freq/7</t>
    </r>
  </si>
  <si>
    <t xml:space="preserve">설문이 아니라 행동 기록</t>
  </si>
  <si>
    <t xml:space="preserve">ls_diet</t>
  </si>
  <si>
    <r>
      <rPr>
        <sz val="10"/>
        <rFont val="Noto Sans CJK SC"/>
        <family val="2"/>
      </rPr>
      <t xml:space="preserve">생활습관 점수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식생활</t>
    </r>
  </si>
  <si>
    <t xml:space="preserve">0~1</t>
  </si>
  <si>
    <t xml:space="preserve">퀘스트 완료 기록</t>
  </si>
  <si>
    <r>
      <rPr>
        <sz val="10"/>
        <rFont val="Noto Sans CJK SC"/>
        <family val="2"/>
      </rPr>
      <t xml:space="preserve">식이 항목 정규화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대리값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</si>
  <si>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Fruits·Veggies </t>
    </r>
    <r>
      <rPr>
        <sz val="10"/>
        <rFont val="Noto Sans CJK SC"/>
        <family val="2"/>
      </rPr>
      <t xml:space="preserve">대리</t>
    </r>
  </si>
  <si>
    <r>
      <rPr>
        <sz val="10"/>
        <rFont val="Arial"/>
        <family val="0"/>
        <charset val="1"/>
      </rPr>
      <t xml:space="preserve">DR1TOT </t>
    </r>
    <r>
      <rPr>
        <sz val="10"/>
        <rFont val="Noto Sans CJK SC"/>
        <family val="2"/>
      </rPr>
      <t xml:space="preserve">대리</t>
    </r>
  </si>
  <si>
    <r>
      <rPr>
        <sz val="10"/>
        <rFont val="Noto Sans CJK SC"/>
        <family val="2"/>
      </rPr>
      <t xml:space="preserve">가입 시 </t>
    </r>
    <r>
      <rPr>
        <sz val="10"/>
        <rFont val="Arial"/>
        <family val="0"/>
        <charset val="1"/>
      </rPr>
      <t xml:space="preserve">0.5</t>
    </r>
  </si>
  <si>
    <r>
      <rPr>
        <sz val="10"/>
        <rFont val="Noto Sans CJK SC"/>
        <family val="2"/>
      </rPr>
      <t xml:space="preserve">저염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당류 퀘스트가 여기 반영</t>
    </r>
  </si>
  <si>
    <t xml:space="preserve">ls_sleep</t>
  </si>
  <si>
    <r>
      <rPr>
        <sz val="10"/>
        <rFont val="Noto Sans CJK SC"/>
        <family val="2"/>
      </rPr>
      <t xml:space="preserve">생활습관 점수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수면</t>
    </r>
  </si>
  <si>
    <r>
      <rPr>
        <sz val="10"/>
        <rFont val="Noto Sans CJK SC"/>
        <family val="2"/>
      </rPr>
      <t xml:space="preserve">수면시간 </t>
    </r>
    <r>
      <rPr>
        <sz val="10"/>
        <rFont val="Arial"/>
        <family val="0"/>
        <charset val="1"/>
      </rPr>
      <t xml:space="preserve">7~8h=1</t>
    </r>
  </si>
  <si>
    <r>
      <rPr>
        <sz val="10"/>
        <rFont val="Arial"/>
        <family val="0"/>
        <charset val="1"/>
      </rPr>
      <t xml:space="preserve">SLQ </t>
    </r>
    <r>
      <rPr>
        <sz val="10"/>
        <rFont val="Noto Sans CJK SC"/>
        <family val="2"/>
      </rPr>
      <t xml:space="preserve">대리</t>
    </r>
  </si>
  <si>
    <r>
      <rPr>
        <sz val="10"/>
        <rFont val="Noto Sans CJK SC"/>
        <family val="2"/>
      </rPr>
      <t xml:space="preserve">가입 시 </t>
    </r>
    <r>
      <rPr>
        <sz val="10"/>
        <rFont val="Arial"/>
        <family val="0"/>
        <charset val="1"/>
      </rPr>
      <t xml:space="preserve">sleep_hours </t>
    </r>
    <r>
      <rPr>
        <sz val="10"/>
        <rFont val="Noto Sans CJK SC"/>
        <family val="2"/>
      </rPr>
      <t xml:space="preserve">기준</t>
    </r>
  </si>
  <si>
    <t xml:space="preserve">ls_record</t>
  </si>
  <si>
    <r>
      <rPr>
        <sz val="10"/>
        <rFont val="Noto Sans CJK SC"/>
        <family val="2"/>
      </rPr>
      <t xml:space="preserve">생활습관 점수</t>
    </r>
    <r>
      <rPr>
        <sz val="10"/>
        <rFont val="Arial"/>
        <family val="0"/>
        <charset val="1"/>
      </rPr>
      <t xml:space="preserve">-</t>
    </r>
    <r>
      <rPr>
        <sz val="10"/>
        <rFont val="Noto Sans CJK SC"/>
        <family val="2"/>
      </rPr>
      <t xml:space="preserve">기록</t>
    </r>
  </si>
  <si>
    <t xml:space="preserve">기록형 퀘스트 완료</t>
  </si>
  <si>
    <r>
      <rPr>
        <sz val="10"/>
        <rFont val="Arial"/>
        <family val="0"/>
        <charset val="1"/>
      </rPr>
      <t xml:space="preserve">— (</t>
    </r>
    <r>
      <rPr>
        <sz val="10"/>
        <rFont val="Noto Sans CJK SC"/>
        <family val="2"/>
      </rPr>
      <t xml:space="preserve">학습 시 상수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</si>
  <si>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가입 시 </t>
    </r>
    <r>
      <rPr>
        <sz val="10"/>
        <rFont val="Arial"/>
        <family val="0"/>
        <charset val="1"/>
      </rPr>
      <t xml:space="preserve">0</t>
    </r>
  </si>
  <si>
    <r>
      <rPr>
        <sz val="10"/>
        <rFont val="Noto Sans CJK SC"/>
        <family val="2"/>
      </rPr>
      <t xml:space="preserve">학습 데이터에 없음 → 모델 피처에서 제외하고 대시보드 점수로만 사용 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팀 결정 필요</t>
    </r>
    <r>
      <rPr>
        <sz val="10"/>
        <rFont val="Arial"/>
        <family val="0"/>
        <charset val="1"/>
      </rPr>
      <t xml:space="preserve">]</t>
    </r>
  </si>
  <si>
    <t xml:space="preserve">질환</t>
  </si>
  <si>
    <t xml:space="preserve">등급</t>
  </si>
  <si>
    <t xml:space="preserve">구분</t>
  </si>
  <si>
    <r>
      <rPr>
        <b val="true"/>
        <sz val="10"/>
        <color rgb="FFFFFFFF"/>
        <rFont val="Noto Sans CJK SC"/>
        <family val="2"/>
      </rPr>
      <t xml:space="preserve">항목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코드명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</si>
  <si>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설명</t>
  </si>
  <si>
    <t xml:space="preserve">중요도</t>
  </si>
  <si>
    <r>
      <rPr>
        <b val="true"/>
        <sz val="10"/>
        <color rgb="FFFFFFFF"/>
        <rFont val="Noto Sans CJK SC"/>
        <family val="2"/>
      </rPr>
      <t xml:space="preserve">온보딩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입력 출처</t>
    </r>
  </si>
  <si>
    <t xml:space="preserve">관련 퀘스트 축</t>
  </si>
  <si>
    <t xml:space="preserve">고혈압</t>
  </si>
  <si>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</rPr>
      <t xml:space="preserve">모델</t>
    </r>
  </si>
  <si>
    <t xml:space="preserve">모델 피처</t>
  </si>
  <si>
    <t xml:space="preserve">age, sex, bmi, waist_cm</t>
  </si>
  <si>
    <t xml:space="preserve">공통 기반</t>
  </si>
  <si>
    <t xml:space="preserve">●</t>
  </si>
  <si>
    <r>
      <rPr>
        <sz val="10"/>
        <rFont val="Noto Sans CJK SC"/>
        <family val="2"/>
      </rPr>
      <t xml:space="preserve">온보딩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퀘스트</t>
    </r>
  </si>
  <si>
    <t xml:space="preserve">현재 흡연</t>
  </si>
  <si>
    <t xml:space="preserve">음주 빈도 — 혈압 상승 인자</t>
  </si>
  <si>
    <r>
      <rPr>
        <sz val="10"/>
        <rFont val="Noto Sans CJK SC"/>
        <family val="2"/>
      </rPr>
      <t xml:space="preserve">수면 부족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과다</t>
    </r>
  </si>
  <si>
    <t xml:space="preserve">○</t>
  </si>
  <si>
    <t xml:space="preserve">ls_activity, ls_sleep</t>
  </si>
  <si>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일 생활습관 점수</t>
    </r>
  </si>
  <si>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일 식생활 점수 — 저염 퀘스트 가중</t>
    </r>
  </si>
  <si>
    <r>
      <rPr>
        <sz val="10"/>
        <rFont val="Noto Sans CJK SC"/>
        <family val="2"/>
      </rPr>
      <t xml:space="preserve">라벨 정의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피처 제외</t>
    </r>
    <r>
      <rPr>
        <sz val="10"/>
        <rFont val="Arial"/>
        <family val="0"/>
        <charset val="1"/>
      </rPr>
      <t xml:space="preserve">)</t>
    </r>
  </si>
  <si>
    <t xml:space="preserve">systolic_bp, diastolic_bp</t>
  </si>
  <si>
    <r>
      <rPr>
        <sz val="10"/>
        <rFont val="Noto Sans CJK SC"/>
        <family val="2"/>
      </rPr>
      <t xml:space="preserve">수축기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이완기 혈압 측정값</t>
    </r>
  </si>
  <si>
    <t xml:space="preserve">제외</t>
  </si>
  <si>
    <r>
      <rPr>
        <sz val="10"/>
        <rFont val="Noto Sans CJK SC"/>
        <family val="2"/>
      </rPr>
      <t xml:space="preserve">혈압계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기록형 퀘스트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</si>
  <si>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라벨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진단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약물 또는 ≥</t>
    </r>
    <r>
      <rPr>
        <sz val="10"/>
        <rFont val="Arial"/>
        <family val="0"/>
        <charset val="1"/>
      </rPr>
      <t xml:space="preserve">140/90</t>
    </r>
  </si>
  <si>
    <t xml:space="preserve">has_htn, htn_medication</t>
  </si>
  <si>
    <r>
      <rPr>
        <sz val="10"/>
        <rFont val="Noto Sans CJK SC"/>
        <family val="2"/>
      </rPr>
      <t xml:space="preserve">고혈압 진단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혈압약</t>
    </r>
  </si>
  <si>
    <r>
      <rPr>
        <sz val="10"/>
        <rFont val="Noto Sans CJK SC"/>
        <family val="2"/>
      </rPr>
      <t xml:space="preserve">진단 질환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복용약</t>
    </r>
  </si>
  <si>
    <t xml:space="preserve">대시보드 밴드</t>
  </si>
  <si>
    <t xml:space="preserve">blood_pressure</t>
  </si>
  <si>
    <r>
      <rPr>
        <sz val="10"/>
        <rFont val="Noto Sans CJK SC"/>
        <family val="2"/>
      </rPr>
      <t xml:space="preserve">정상 </t>
    </r>
    <r>
      <rPr>
        <sz val="10"/>
        <rFont val="Arial"/>
        <family val="0"/>
        <charset val="1"/>
      </rPr>
      <t xml:space="preserve">&lt;120/80 · </t>
    </r>
    <r>
      <rPr>
        <sz val="10"/>
        <rFont val="Noto Sans CJK SC"/>
        <family val="2"/>
      </rPr>
      <t xml:space="preserve">주의 </t>
    </r>
    <r>
      <rPr>
        <sz val="10"/>
        <rFont val="Arial"/>
        <family val="0"/>
        <charset val="1"/>
      </rPr>
      <t xml:space="preserve">120~139/80~89 · </t>
    </r>
    <r>
      <rPr>
        <sz val="10"/>
        <rFont val="Noto Sans CJK SC"/>
        <family val="2"/>
      </rPr>
      <t xml:space="preserve">위험 ≥</t>
    </r>
    <r>
      <rPr>
        <sz val="10"/>
        <rFont val="Arial"/>
        <family val="0"/>
        <charset val="1"/>
      </rPr>
      <t xml:space="preserve">140/90</t>
    </r>
  </si>
  <si>
    <t xml:space="preserve">밴드</t>
  </si>
  <si>
    <t xml:space="preserve">혈압계</t>
  </si>
  <si>
    <t xml:space="preserve">아침 혈압 기록</t>
  </si>
  <si>
    <t xml:space="preserve">퀘스트 축</t>
  </si>
  <si>
    <r>
      <rPr>
        <sz val="10"/>
        <rFont val="Noto Sans CJK SC"/>
        <family val="2"/>
      </rPr>
      <t xml:space="preserve">저염식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걷기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유산소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절주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수면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혈압 기록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체중</t>
    </r>
  </si>
  <si>
    <r>
      <rPr>
        <sz val="10"/>
        <rFont val="Noto Sans CJK SC"/>
        <family val="2"/>
      </rPr>
      <t xml:space="preserve">완료 시 </t>
    </r>
    <r>
      <rPr>
        <sz val="10"/>
        <rFont val="Arial"/>
        <family val="0"/>
        <charset val="1"/>
      </rPr>
      <t xml:space="preserve">ls_diet/ls_activity/ls_sleep/ls_record </t>
    </r>
    <r>
      <rPr>
        <sz val="10"/>
        <rFont val="Noto Sans CJK SC"/>
        <family val="2"/>
      </rPr>
      <t xml:space="preserve">갱신</t>
    </r>
  </si>
  <si>
    <t xml:space="preserve">퀘스트 풀</t>
  </si>
  <si>
    <t xml:space="preserve">당뇨</t>
  </si>
  <si>
    <t xml:space="preserve">age, sex, bmi</t>
  </si>
  <si>
    <r>
      <rPr>
        <sz val="10"/>
        <rFont val="Noto Sans CJK SC"/>
        <family val="2"/>
      </rPr>
      <t xml:space="preserve">복부비만 —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형 당뇨 핵심 인자</t>
    </r>
  </si>
  <si>
    <t xml:space="preserve">음주</t>
  </si>
  <si>
    <t xml:space="preserve">수면</t>
  </si>
  <si>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일 활동 점수 — 식후 걷기 가중</t>
    </r>
  </si>
  <si>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일 식생활 점수 — 당류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정제탄수 가중</t>
    </r>
  </si>
  <si>
    <t xml:space="preserve">fasting_glucose, hba1c</t>
  </si>
  <si>
    <r>
      <rPr>
        <sz val="10"/>
        <rFont val="Noto Sans CJK SC"/>
        <family val="2"/>
      </rPr>
      <t xml:space="preserve">공복혈당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당화혈색소</t>
    </r>
  </si>
  <si>
    <r>
      <rPr>
        <sz val="10"/>
        <rFont val="Noto Sans CJK SC"/>
        <family val="2"/>
      </rPr>
      <t xml:space="preserve">혈당계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검진 입력</t>
    </r>
  </si>
  <si>
    <r>
      <rPr>
        <sz val="10"/>
        <rFont val="Noto Sans CJK SC"/>
        <family val="2"/>
      </rPr>
      <t xml:space="preserve">라벨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진단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약물 또는 </t>
    </r>
    <r>
      <rPr>
        <sz val="10"/>
        <rFont val="Arial"/>
        <family val="0"/>
        <charset val="1"/>
      </rPr>
      <t xml:space="preserve">FPG≥126 / HbA1c≥6.5</t>
    </r>
  </si>
  <si>
    <t xml:space="preserve">has_dm, dm_medication</t>
  </si>
  <si>
    <r>
      <rPr>
        <sz val="10"/>
        <rFont val="Noto Sans CJK SC"/>
        <family val="2"/>
      </rPr>
      <t xml:space="preserve">당뇨 진단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당뇨약</t>
    </r>
  </si>
  <si>
    <t xml:space="preserve">fasting_glucose</t>
  </si>
  <si>
    <r>
      <rPr>
        <sz val="10"/>
        <rFont val="Noto Sans CJK SC"/>
        <family val="2"/>
      </rPr>
      <t xml:space="preserve">정상 </t>
    </r>
    <r>
      <rPr>
        <sz val="10"/>
        <rFont val="Arial"/>
        <family val="0"/>
        <charset val="1"/>
      </rPr>
      <t xml:space="preserve">&lt;100 · </t>
    </r>
    <r>
      <rPr>
        <sz val="10"/>
        <rFont val="Noto Sans CJK SC"/>
        <family val="2"/>
      </rPr>
      <t xml:space="preserve">주의 </t>
    </r>
    <r>
      <rPr>
        <sz val="10"/>
        <rFont val="Arial"/>
        <family val="0"/>
        <charset val="1"/>
      </rPr>
      <t xml:space="preserve">100~125 · </t>
    </r>
    <r>
      <rPr>
        <sz val="10"/>
        <rFont val="Noto Sans CJK SC"/>
        <family val="2"/>
      </rPr>
      <t xml:space="preserve">위험 ≥</t>
    </r>
    <r>
      <rPr>
        <sz val="10"/>
        <rFont val="Arial"/>
        <family val="0"/>
        <charset val="1"/>
      </rPr>
      <t xml:space="preserve">126</t>
    </r>
  </si>
  <si>
    <t xml:space="preserve">혈당계</t>
  </si>
  <si>
    <t xml:space="preserve">공복 혈당 기록</t>
  </si>
  <si>
    <t xml:space="preserve">postprandial_glucose</t>
  </si>
  <si>
    <r>
      <rPr>
        <sz val="10"/>
        <rFont val="Noto Sans CJK SC"/>
        <family val="2"/>
      </rPr>
      <t xml:space="preserve">식후 </t>
    </r>
    <r>
      <rPr>
        <sz val="10"/>
        <rFont val="Arial"/>
        <family val="0"/>
        <charset val="1"/>
      </rPr>
      <t xml:space="preserve">2h: &lt;140 · 140~199 · ≥200</t>
    </r>
  </si>
  <si>
    <t xml:space="preserve">식후 혈당 기록</t>
  </si>
  <si>
    <t xml:space="preserve">hba1c</t>
  </si>
  <si>
    <r>
      <rPr>
        <sz val="10"/>
        <rFont val="Arial"/>
        <family val="0"/>
        <charset val="1"/>
      </rPr>
      <t xml:space="preserve">&lt;5.7 · 5.7~6.4 · ≥6.5 (</t>
    </r>
    <r>
      <rPr>
        <sz val="10"/>
        <rFont val="Noto Sans CJK SC"/>
        <family val="2"/>
      </rPr>
      <t xml:space="preserve">검진 입력</t>
    </r>
    <r>
      <rPr>
        <sz val="10"/>
        <rFont val="Arial"/>
        <family val="0"/>
        <charset val="1"/>
      </rPr>
      <t xml:space="preserve">)</t>
    </r>
  </si>
  <si>
    <t xml:space="preserve">검진 결과</t>
  </si>
  <si>
    <r>
      <rPr>
        <sz val="10"/>
        <rFont val="Noto Sans CJK SC"/>
        <family val="2"/>
      </rPr>
      <t xml:space="preserve">식후 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분 걷기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당류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정제탄수 줄이기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혈당 기록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체중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수면</t>
    </r>
  </si>
  <si>
    <t xml:space="preserve">비만</t>
  </si>
  <si>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</rPr>
      <t xml:space="preserve">밴드만</t>
    </r>
  </si>
  <si>
    <r>
      <rPr>
        <sz val="10"/>
        <rFont val="Noto Sans CJK SC"/>
        <family val="2"/>
      </rPr>
      <t xml:space="preserve">정상 </t>
    </r>
    <r>
      <rPr>
        <sz val="10"/>
        <rFont val="Arial"/>
        <family val="0"/>
        <charset val="1"/>
      </rPr>
      <t xml:space="preserve">&lt;23 · </t>
    </r>
    <r>
      <rPr>
        <sz val="10"/>
        <rFont val="Noto Sans CJK SC"/>
        <family val="2"/>
      </rPr>
      <t xml:space="preserve">과체중 </t>
    </r>
    <r>
      <rPr>
        <sz val="10"/>
        <rFont val="Arial"/>
        <family val="0"/>
        <charset val="1"/>
      </rPr>
      <t xml:space="preserve">23~24.9 · </t>
    </r>
    <r>
      <rPr>
        <sz val="10"/>
        <rFont val="Noto Sans CJK SC"/>
        <family val="2"/>
      </rPr>
      <t xml:space="preserve">비만 ≥</t>
    </r>
    <r>
      <rPr>
        <sz val="10"/>
        <rFont val="Arial"/>
        <family val="0"/>
        <charset val="1"/>
      </rPr>
      <t xml:space="preserve">25 (</t>
    </r>
    <r>
      <rPr>
        <sz val="10"/>
        <rFont val="Noto Sans CJK SC"/>
        <family val="2"/>
      </rPr>
      <t xml:space="preserve">한국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</si>
  <si>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키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몸무게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체중계</t>
    </r>
  </si>
  <si>
    <t xml:space="preserve">아침 체중 기록</t>
  </si>
  <si>
    <t xml:space="preserve">별도 모델 없음</t>
  </si>
  <si>
    <r>
      <rPr>
        <sz val="10"/>
        <rFont val="Noto Sans CJK SC"/>
        <family val="2"/>
      </rPr>
      <t xml:space="preserve">복부비만 남 ≥</t>
    </r>
    <r>
      <rPr>
        <sz val="10"/>
        <rFont val="Arial"/>
        <family val="0"/>
        <charset val="1"/>
      </rPr>
      <t xml:space="preserve">90 / </t>
    </r>
    <r>
      <rPr>
        <sz val="10"/>
        <rFont val="Noto Sans CJK SC"/>
        <family val="2"/>
      </rPr>
      <t xml:space="preserve">여 ≥</t>
    </r>
    <r>
      <rPr>
        <sz val="10"/>
        <rFont val="Arial"/>
        <family val="0"/>
        <charset val="1"/>
      </rPr>
      <t xml:space="preserve">85</t>
    </r>
  </si>
  <si>
    <t xml:space="preserve">줄자</t>
  </si>
  <si>
    <r>
      <rPr>
        <sz val="10"/>
        <rFont val="Noto Sans CJK SC"/>
        <family val="2"/>
      </rPr>
      <t xml:space="preserve">허리둘레 기록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주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회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</si>
  <si>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body_fat, weight </t>
    </r>
    <r>
      <rPr>
        <sz val="10"/>
        <rFont val="Noto Sans CJK SC"/>
        <family val="2"/>
      </rPr>
      <t xml:space="preserve">추이</t>
    </r>
  </si>
  <si>
    <r>
      <rPr>
        <sz val="10"/>
        <rFont val="Noto Sans CJK SC"/>
        <family val="2"/>
      </rPr>
      <t xml:space="preserve">체지방률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체중 추이</t>
    </r>
  </si>
  <si>
    <t xml:space="preserve">체중계</t>
  </si>
  <si>
    <r>
      <rPr>
        <sz val="10"/>
        <rFont val="Noto Sans CJK SC"/>
        <family val="2"/>
      </rPr>
      <t xml:space="preserve">활동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식생활 축 공유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체중 기록</t>
    </r>
  </si>
  <si>
    <r>
      <rPr>
        <sz val="10"/>
        <rFont val="Arial"/>
        <family val="0"/>
        <charset val="1"/>
      </rPr>
      <t xml:space="preserve">bmi·waist_cm</t>
    </r>
    <r>
      <rPr>
        <sz val="10"/>
        <rFont val="Noto Sans CJK SC"/>
        <family val="2"/>
      </rPr>
      <t xml:space="preserve">가 다른 모델 피처라 비만 개선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타 위험도 감소</t>
    </r>
  </si>
  <si>
    <t xml:space="preserve">대사증후군</t>
  </si>
  <si>
    <r>
      <rPr>
        <sz val="10"/>
        <rFont val="Arial"/>
        <family val="0"/>
        <charset val="1"/>
      </rPr>
      <t xml:space="preserve">A</t>
    </r>
    <r>
      <rPr>
        <sz val="10"/>
        <rFont val="Noto Sans CJK SC"/>
        <family val="2"/>
      </rPr>
      <t xml:space="preserve">확장 규칙</t>
    </r>
  </si>
  <si>
    <t xml:space="preserve">판정 입력</t>
  </si>
  <si>
    <r>
      <rPr>
        <sz val="10"/>
        <rFont val="Arial"/>
        <family val="0"/>
        <charset val="1"/>
      </rPr>
      <t xml:space="preserve">≥90(</t>
    </r>
    <r>
      <rPr>
        <sz val="10"/>
        <rFont val="Noto Sans CJK SC"/>
        <family val="2"/>
      </rPr>
      <t xml:space="preserve">남</t>
    </r>
    <r>
      <rPr>
        <sz val="10"/>
        <rFont val="Arial"/>
        <family val="0"/>
        <charset val="1"/>
      </rPr>
      <t xml:space="preserve">)/85(</t>
    </r>
    <r>
      <rPr>
        <sz val="10"/>
        <rFont val="Noto Sans CJK SC"/>
        <family val="2"/>
      </rPr>
      <t xml:space="preserve">여</t>
    </r>
    <r>
      <rPr>
        <sz val="10"/>
        <rFont val="Arial"/>
        <family val="0"/>
        <charset val="1"/>
      </rPr>
      <t xml:space="preserve">)</t>
    </r>
  </si>
  <si>
    <t xml:space="preserve">판정</t>
  </si>
  <si>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기준 중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개↑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해당</t>
    </r>
  </si>
  <si>
    <r>
      <rPr>
        <sz val="10"/>
        <rFont val="Arial"/>
        <family val="0"/>
        <charset val="1"/>
      </rPr>
      <t xml:space="preserve">≥130/85 </t>
    </r>
    <r>
      <rPr>
        <sz val="10"/>
        <rFont val="Noto Sans CJK SC"/>
        <family val="2"/>
      </rPr>
      <t xml:space="preserve">또는 혈압약</t>
    </r>
  </si>
  <si>
    <r>
      <rPr>
        <sz val="10"/>
        <rFont val="Arial"/>
        <family val="0"/>
        <charset val="1"/>
      </rPr>
      <t xml:space="preserve">≥100 </t>
    </r>
    <r>
      <rPr>
        <sz val="10"/>
        <rFont val="Noto Sans CJK SC"/>
        <family val="2"/>
      </rPr>
      <t xml:space="preserve">또는 당뇨약</t>
    </r>
  </si>
  <si>
    <t xml:space="preserve">triglycerides</t>
  </si>
  <si>
    <r>
      <rPr>
        <sz val="10"/>
        <rFont val="Arial"/>
        <family val="0"/>
        <charset val="1"/>
      </rPr>
      <t xml:space="preserve">≥150 (</t>
    </r>
    <r>
      <rPr>
        <sz val="10"/>
        <rFont val="Noto Sans CJK SC"/>
        <family val="2"/>
      </rPr>
      <t xml:space="preserve">검진 입력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</si>
  <si>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없으면 </t>
    </r>
    <r>
      <rPr>
        <sz val="10"/>
        <rFont val="Arial"/>
        <family val="0"/>
        <charset val="1"/>
      </rPr>
      <t xml:space="preserve">'3</t>
    </r>
    <r>
      <rPr>
        <sz val="10"/>
        <rFont val="Noto Sans CJK SC"/>
        <family val="2"/>
      </rPr>
      <t xml:space="preserve">개 기준만 확인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표시</t>
    </r>
  </si>
  <si>
    <t xml:space="preserve">hdl</t>
  </si>
  <si>
    <r>
      <rPr>
        <sz val="10"/>
        <rFont val="Arial"/>
        <family val="0"/>
        <charset val="1"/>
      </rPr>
      <t xml:space="preserve">&lt;40(</t>
    </r>
    <r>
      <rPr>
        <sz val="10"/>
        <rFont val="Noto Sans CJK SC"/>
        <family val="2"/>
      </rPr>
      <t xml:space="preserve">남</t>
    </r>
    <r>
      <rPr>
        <sz val="10"/>
        <rFont val="Arial"/>
        <family val="0"/>
        <charset val="1"/>
      </rPr>
      <t xml:space="preserve">)/50(</t>
    </r>
    <r>
      <rPr>
        <sz val="10"/>
        <rFont val="Noto Sans CJK SC"/>
        <family val="2"/>
      </rPr>
      <t xml:space="preserve">여</t>
    </r>
    <r>
      <rPr>
        <sz val="10"/>
        <rFont val="Arial"/>
        <family val="0"/>
        <charset val="1"/>
      </rPr>
      <t xml:space="preserve">) (</t>
    </r>
    <r>
      <rPr>
        <sz val="10"/>
        <rFont val="Noto Sans CJK SC"/>
        <family val="2"/>
      </rPr>
      <t xml:space="preserve">검진 입력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</si>
  <si>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모델 만들 경우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공통 세트</t>
    </r>
  </si>
  <si>
    <r>
      <rPr>
        <sz val="10"/>
        <rFont val="Noto Sans CJK SC"/>
        <family val="2"/>
      </rPr>
      <t xml:space="preserve">라벨 </t>
    </r>
    <r>
      <rPr>
        <sz val="10"/>
        <rFont val="Arial"/>
        <family val="0"/>
        <charset val="1"/>
      </rPr>
      <t xml:space="preserve">= 3</t>
    </r>
    <r>
      <rPr>
        <sz val="10"/>
        <rFont val="Noto Sans CJK SC"/>
        <family val="2"/>
      </rPr>
      <t xml:space="preserve">개 이상</t>
    </r>
  </si>
  <si>
    <r>
      <rPr>
        <sz val="10"/>
        <rFont val="Arial"/>
        <family val="0"/>
        <charset val="1"/>
      </rPr>
      <t xml:space="preserve">S4 </t>
    </r>
    <r>
      <rPr>
        <sz val="10"/>
        <rFont val="Noto Sans CJK SC"/>
        <family val="2"/>
      </rPr>
      <t xml:space="preserve">여유 시</t>
    </r>
  </si>
  <si>
    <r>
      <rPr>
        <sz val="10"/>
        <rFont val="Noto Sans CJK SC"/>
        <family val="2"/>
      </rPr>
      <t xml:space="preserve">고혈압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당뇨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비만 축 합집합</t>
    </r>
  </si>
  <si>
    <t xml:space="preserve">만성콩팥병</t>
  </si>
  <si>
    <r>
      <rPr>
        <sz val="10"/>
        <rFont val="Arial"/>
        <family val="0"/>
        <charset val="1"/>
      </rPr>
      <t xml:space="preserve">B </t>
    </r>
    <r>
      <rPr>
        <sz val="10"/>
        <rFont val="Noto Sans CJK SC"/>
        <family val="2"/>
      </rPr>
      <t xml:space="preserve">보조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모델 </t>
    </r>
    <r>
      <rPr>
        <sz val="10"/>
        <rFont val="Arial"/>
        <family val="0"/>
        <charset val="1"/>
      </rPr>
      <t xml:space="preserve">S4 </t>
    </r>
    <r>
      <rPr>
        <sz val="10"/>
        <rFont val="Noto Sans CJK SC"/>
        <family val="2"/>
      </rPr>
      <t xml:space="preserve">판단</t>
    </r>
    <r>
      <rPr>
        <sz val="10"/>
        <rFont val="Arial"/>
        <family val="0"/>
        <charset val="1"/>
      </rPr>
      <t xml:space="preserve">)</t>
    </r>
  </si>
  <si>
    <t xml:space="preserve">나이 — 가장 큰 인자</t>
  </si>
  <si>
    <t xml:space="preserve">온보딩</t>
  </si>
  <si>
    <t xml:space="preserve">sex, bmi, waist_cm</t>
  </si>
  <si>
    <t xml:space="preserve">공통</t>
  </si>
  <si>
    <t xml:space="preserve">alcohol_freq, exercise_freq</t>
  </si>
  <si>
    <t xml:space="preserve">analgesic_use</t>
  </si>
  <si>
    <r>
      <rPr>
        <sz val="10"/>
        <rFont val="Noto Sans CJK SC"/>
        <family val="2"/>
      </rPr>
      <t xml:space="preserve">진통제 상용 여부 </t>
    </r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설문 추가 검토</t>
    </r>
    <r>
      <rPr>
        <sz val="10"/>
        <rFont val="Arial"/>
        <family val="0"/>
        <charset val="1"/>
      </rPr>
      <t xml:space="preserve">]</t>
    </r>
  </si>
  <si>
    <t xml:space="preserve">acr, egfr(creatinine), urine_protein</t>
  </si>
  <si>
    <r>
      <rPr>
        <sz val="10"/>
        <rFont val="Arial"/>
        <family val="0"/>
        <charset val="1"/>
      </rPr>
      <t xml:space="preserve">ACR≥30 / eGFR&lt;60 / </t>
    </r>
    <r>
      <rPr>
        <sz val="10"/>
        <rFont val="Noto Sans CJK SC"/>
        <family val="2"/>
      </rPr>
      <t xml:space="preserve">스틱 </t>
    </r>
    <r>
      <rPr>
        <sz val="10"/>
        <rFont val="Arial"/>
        <family val="0"/>
        <charset val="1"/>
      </rPr>
      <t xml:space="preserve">1+↑</t>
    </r>
  </si>
  <si>
    <r>
      <rPr>
        <sz val="10"/>
        <rFont val="Noto Sans CJK SC"/>
        <family val="2"/>
      </rPr>
      <t xml:space="preserve">검진 입력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소변 스틱</t>
    </r>
  </si>
  <si>
    <t xml:space="preserve">urine_protein</t>
  </si>
  <si>
    <r>
      <rPr>
        <sz val="10"/>
        <rFont val="Noto Sans CJK SC"/>
        <family val="2"/>
      </rPr>
      <t xml:space="preserve">음성 </t>
    </r>
    <r>
      <rPr>
        <sz val="10"/>
        <rFont val="Arial"/>
        <family val="0"/>
        <charset val="1"/>
      </rPr>
      <t xml:space="preserve">· ± · 1+ · 2+ · 3+ (</t>
    </r>
    <r>
      <rPr>
        <sz val="10"/>
        <rFont val="Noto Sans CJK SC"/>
        <family val="2"/>
      </rPr>
      <t xml:space="preserve">월 추이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</si>
  <si>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소변 스틱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주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회</t>
    </r>
    <r>
      <rPr>
        <sz val="10"/>
        <rFont val="Arial"/>
        <family val="0"/>
        <charset val="1"/>
      </rPr>
      <t xml:space="preserve">)</t>
    </r>
  </si>
  <si>
    <t xml:space="preserve">첫 아침 소변 스틱</t>
  </si>
  <si>
    <r>
      <rPr>
        <sz val="10"/>
        <rFont val="Arial"/>
        <family val="0"/>
        <charset val="1"/>
      </rPr>
      <t xml:space="preserve">1+ </t>
    </r>
    <r>
      <rPr>
        <sz val="10"/>
        <rFont val="Noto Sans CJK SC"/>
        <family val="2"/>
      </rPr>
      <t xml:space="preserve">이상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회 연속 → 검진 권고</t>
    </r>
  </si>
  <si>
    <t xml:space="preserve">egfr</t>
  </si>
  <si>
    <r>
      <rPr>
        <sz val="10"/>
        <rFont val="Arial"/>
        <family val="0"/>
        <charset val="1"/>
      </rPr>
      <t xml:space="preserve">≥90 </t>
    </r>
    <r>
      <rPr>
        <sz val="10"/>
        <rFont val="Noto Sans CJK SC"/>
        <family val="2"/>
      </rPr>
      <t xml:space="preserve">정상 </t>
    </r>
    <r>
      <rPr>
        <sz val="10"/>
        <rFont val="Arial"/>
        <family val="0"/>
        <charset val="1"/>
      </rPr>
      <t xml:space="preserve">· 60~89 </t>
    </r>
    <r>
      <rPr>
        <sz val="10"/>
        <rFont val="Noto Sans CJK SC"/>
        <family val="2"/>
      </rPr>
      <t xml:space="preserve">경계 </t>
    </r>
    <r>
      <rPr>
        <sz val="10"/>
        <rFont val="Arial"/>
        <family val="0"/>
        <charset val="1"/>
      </rPr>
      <t xml:space="preserve">· &lt;60 </t>
    </r>
    <r>
      <rPr>
        <sz val="10"/>
        <rFont val="Noto Sans CJK SC"/>
        <family val="2"/>
      </rPr>
      <t xml:space="preserve">위험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검진 입력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</si>
  <si>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혈압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혈당 축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저염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수분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소변 스틱 기록</t>
    </r>
  </si>
  <si>
    <r>
      <rPr>
        <sz val="10"/>
        <rFont val="Arial"/>
        <family val="0"/>
        <charset val="1"/>
      </rPr>
      <t xml:space="preserve">CKD </t>
    </r>
    <r>
      <rPr>
        <sz val="10"/>
        <rFont val="Noto Sans CJK SC"/>
        <family val="2"/>
      </rPr>
      <t xml:space="preserve">예방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혈압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혈당 관리</t>
    </r>
  </si>
  <si>
    <t xml:space="preserve">지방간질환</t>
  </si>
  <si>
    <r>
      <rPr>
        <sz val="10"/>
        <rFont val="Arial"/>
        <family val="0"/>
        <charset val="1"/>
      </rPr>
      <t xml:space="preserve">B </t>
    </r>
    <r>
      <rPr>
        <sz val="10"/>
        <rFont val="Noto Sans CJK SC"/>
        <family val="2"/>
      </rPr>
      <t xml:space="preserve">보조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비만 트랙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</si>
  <si>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모델 피처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모델 시</t>
    </r>
    <r>
      <rPr>
        <sz val="10"/>
        <rFont val="Arial"/>
        <family val="0"/>
        <charset val="1"/>
      </rPr>
      <t xml:space="preserve">)</t>
    </r>
  </si>
  <si>
    <t xml:space="preserve">알코올성 구분 — 비중 큼</t>
  </si>
  <si>
    <t xml:space="preserve">bmi, waist_cm</t>
  </si>
  <si>
    <t xml:space="preserve">복부비만</t>
  </si>
  <si>
    <t xml:space="preserve">smoking, sleep_hours</t>
  </si>
  <si>
    <t xml:space="preserve">ast, alt, ggt, triglycerides</t>
  </si>
  <si>
    <r>
      <rPr>
        <sz val="10"/>
        <rFont val="Arial"/>
        <family val="0"/>
        <charset val="1"/>
      </rPr>
      <t xml:space="preserve">HSI/FLI </t>
    </r>
    <r>
      <rPr>
        <sz val="10"/>
        <rFont val="Noto Sans CJK SC"/>
        <family val="2"/>
      </rPr>
      <t xml:space="preserve">대리 라벨 계산 입력</t>
    </r>
  </si>
  <si>
    <t xml:space="preserve">검진 입력</t>
  </si>
  <si>
    <r>
      <rPr>
        <sz val="10"/>
        <rFont val="Noto Sans CJK SC"/>
        <family val="2"/>
      </rPr>
      <t xml:space="preserve">초음파 라벨 없음 →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지수 기반 추정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명시</t>
    </r>
  </si>
  <si>
    <t xml:space="preserve">hsi</t>
  </si>
  <si>
    <r>
      <rPr>
        <sz val="10"/>
        <rFont val="Arial"/>
        <family val="0"/>
        <charset val="1"/>
      </rPr>
      <t xml:space="preserve">≤30 </t>
    </r>
    <r>
      <rPr>
        <sz val="10"/>
        <rFont val="Noto Sans CJK SC"/>
        <family val="2"/>
      </rPr>
      <t xml:space="preserve">낮음 </t>
    </r>
    <r>
      <rPr>
        <sz val="10"/>
        <rFont val="Arial"/>
        <family val="0"/>
        <charset val="1"/>
      </rPr>
      <t xml:space="preserve">· 30~36 </t>
    </r>
    <r>
      <rPr>
        <sz val="10"/>
        <rFont val="Noto Sans CJK SC"/>
        <family val="2"/>
      </rPr>
      <t xml:space="preserve">중간 </t>
    </r>
    <r>
      <rPr>
        <sz val="10"/>
        <rFont val="Arial"/>
        <family val="0"/>
        <charset val="1"/>
      </rPr>
      <t xml:space="preserve">· &gt;36 </t>
    </r>
    <r>
      <rPr>
        <sz val="10"/>
        <rFont val="Noto Sans CJK SC"/>
        <family val="2"/>
      </rPr>
      <t xml:space="preserve">높음</t>
    </r>
  </si>
  <si>
    <r>
      <rPr>
        <sz val="10"/>
        <rFont val="Arial"/>
        <family val="0"/>
        <charset val="1"/>
      </rPr>
      <t xml:space="preserve">HSI = 8×ALT/AST + BMI (+2 </t>
    </r>
    <r>
      <rPr>
        <sz val="10"/>
        <rFont val="Noto Sans CJK SC"/>
        <family val="2"/>
      </rPr>
      <t xml:space="preserve">여성</t>
    </r>
    <r>
      <rPr>
        <sz val="10"/>
        <rFont val="Arial"/>
        <family val="0"/>
        <charset val="1"/>
      </rPr>
      <t xml:space="preserve">, +2 </t>
    </r>
    <r>
      <rPr>
        <sz val="10"/>
        <rFont val="Noto Sans CJK SC"/>
        <family val="2"/>
      </rPr>
      <t xml:space="preserve">당뇨</t>
    </r>
    <r>
      <rPr>
        <sz val="10"/>
        <rFont val="Arial"/>
        <family val="0"/>
        <charset val="1"/>
      </rPr>
      <t xml:space="preserve">)</t>
    </r>
  </si>
  <si>
    <t xml:space="preserve">fli</t>
  </si>
  <si>
    <t xml:space="preserve">&lt;30 · 30~59 · ≥60</t>
  </si>
  <si>
    <r>
      <rPr>
        <sz val="10"/>
        <rFont val="Noto Sans CJK SC"/>
        <family val="2"/>
      </rPr>
      <t xml:space="preserve">검진 결과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허리둘레</t>
    </r>
  </si>
  <si>
    <r>
      <rPr>
        <sz val="10"/>
        <rFont val="Noto Sans CJK SC"/>
        <family val="2"/>
      </rPr>
      <t xml:space="preserve">절주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체중 감량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당류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정제탄수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활동</t>
    </r>
  </si>
  <si>
    <t xml:space="preserve">이상지질혈증</t>
  </si>
  <si>
    <r>
      <rPr>
        <sz val="10"/>
        <rFont val="Arial"/>
        <family val="0"/>
        <charset val="1"/>
      </rPr>
      <t xml:space="preserve">C </t>
    </r>
    <r>
      <rPr>
        <sz val="10"/>
        <rFont val="Noto Sans CJK SC"/>
        <family val="2"/>
      </rPr>
      <t xml:space="preserve">검진 입력형</t>
    </r>
  </si>
  <si>
    <t xml:space="preserve">waist_cm, bmi</t>
  </si>
  <si>
    <t xml:space="preserve">중성지방 상승</t>
  </si>
  <si>
    <r>
      <rPr>
        <sz val="10"/>
        <rFont val="Arial"/>
        <family val="0"/>
        <charset val="1"/>
      </rPr>
      <t xml:space="preserve">HDL </t>
    </r>
    <r>
      <rPr>
        <sz val="10"/>
        <rFont val="Noto Sans CJK SC"/>
        <family val="2"/>
      </rPr>
      <t xml:space="preserve">상승</t>
    </r>
  </si>
  <si>
    <r>
      <rPr>
        <sz val="10"/>
        <rFont val="Arial"/>
        <family val="0"/>
        <charset val="1"/>
      </rPr>
      <t xml:space="preserve">HDL </t>
    </r>
    <r>
      <rPr>
        <sz val="10"/>
        <rFont val="Noto Sans CJK SC"/>
        <family val="2"/>
      </rPr>
      <t xml:space="preserve">저하</t>
    </r>
  </si>
  <si>
    <t xml:space="preserve">lipid_medication</t>
  </si>
  <si>
    <t xml:space="preserve">지질약 복용</t>
  </si>
  <si>
    <t xml:space="preserve">ldl, total_chol, triglycerides, hdl</t>
  </si>
  <si>
    <r>
      <rPr>
        <sz val="10"/>
        <rFont val="Noto Sans CJK SC"/>
        <family val="2"/>
      </rPr>
      <t xml:space="preserve">지질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항목</t>
    </r>
  </si>
  <si>
    <r>
      <rPr>
        <sz val="10"/>
        <rFont val="Noto Sans CJK SC"/>
        <family val="2"/>
      </rPr>
      <t xml:space="preserve">검진 입력</t>
    </r>
    <r>
      <rPr>
        <sz val="10"/>
        <rFont val="Arial"/>
        <family val="0"/>
        <charset val="1"/>
      </rPr>
      <t xml:space="preserve">(3~6</t>
    </r>
    <r>
      <rPr>
        <sz val="10"/>
        <rFont val="Noto Sans CJK SC"/>
        <family val="2"/>
      </rPr>
      <t xml:space="preserve">개월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</si>
  <si>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라벨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진단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약물 또는 </t>
    </r>
    <r>
      <rPr>
        <sz val="10"/>
        <rFont val="Arial"/>
        <family val="0"/>
        <charset val="1"/>
      </rPr>
      <t xml:space="preserve">LDL≥160/</t>
    </r>
    <r>
      <rPr>
        <sz val="10"/>
        <rFont val="Noto Sans CJK SC"/>
        <family val="2"/>
      </rPr>
      <t xml:space="preserve">총콜≥</t>
    </r>
    <r>
      <rPr>
        <sz val="10"/>
        <rFont val="Arial"/>
        <family val="0"/>
        <charset val="1"/>
      </rPr>
      <t xml:space="preserve">240/TG≥200/HDL&lt;40</t>
    </r>
  </si>
  <si>
    <t xml:space="preserve">ldl</t>
  </si>
  <si>
    <r>
      <rPr>
        <sz val="10"/>
        <rFont val="Arial"/>
        <family val="0"/>
        <charset val="1"/>
      </rPr>
      <t xml:space="preserve">&lt;100 </t>
    </r>
    <r>
      <rPr>
        <sz val="10"/>
        <rFont val="Noto Sans CJK SC"/>
        <family val="2"/>
      </rPr>
      <t xml:space="preserve">적정 </t>
    </r>
    <r>
      <rPr>
        <sz val="10"/>
        <rFont val="Arial"/>
        <family val="0"/>
        <charset val="1"/>
      </rPr>
      <t xml:space="preserve">· 100~129 </t>
    </r>
    <r>
      <rPr>
        <sz val="10"/>
        <rFont val="Noto Sans CJK SC"/>
        <family val="2"/>
      </rPr>
      <t xml:space="preserve">정상 </t>
    </r>
    <r>
      <rPr>
        <sz val="10"/>
        <rFont val="Arial"/>
        <family val="0"/>
        <charset val="1"/>
      </rPr>
      <t xml:space="preserve">· 130~159 </t>
    </r>
    <r>
      <rPr>
        <sz val="10"/>
        <rFont val="Noto Sans CJK SC"/>
        <family val="2"/>
      </rPr>
      <t xml:space="preserve">경계 </t>
    </r>
    <r>
      <rPr>
        <sz val="10"/>
        <rFont val="Arial"/>
        <family val="0"/>
        <charset val="1"/>
      </rPr>
      <t xml:space="preserve">· ≥160 </t>
    </r>
    <r>
      <rPr>
        <sz val="10"/>
        <rFont val="Noto Sans CJK SC"/>
        <family val="2"/>
      </rPr>
      <t xml:space="preserve">높음</t>
    </r>
  </si>
  <si>
    <t xml:space="preserve">total_chol</t>
  </si>
  <si>
    <t xml:space="preserve">&lt;200 · 200~239 · ≥240</t>
  </si>
  <si>
    <t xml:space="preserve">&lt;150 · 150~199 · ≥200</t>
  </si>
  <si>
    <r>
      <rPr>
        <sz val="10"/>
        <rFont val="Arial"/>
        <family val="0"/>
        <charset val="1"/>
      </rPr>
      <t xml:space="preserve">≥60 </t>
    </r>
    <r>
      <rPr>
        <sz val="10"/>
        <rFont val="Noto Sans CJK SC"/>
        <family val="2"/>
      </rPr>
      <t xml:space="preserve">좋음 </t>
    </r>
    <r>
      <rPr>
        <sz val="10"/>
        <rFont val="Arial"/>
        <family val="0"/>
        <charset val="1"/>
      </rPr>
      <t xml:space="preserve">· 40~59 · &lt;40 </t>
    </r>
    <r>
      <rPr>
        <sz val="10"/>
        <rFont val="Noto Sans CJK SC"/>
        <family val="2"/>
      </rPr>
      <t xml:space="preserve">낮음</t>
    </r>
  </si>
  <si>
    <r>
      <rPr>
        <sz val="10"/>
        <rFont val="Noto Sans CJK SC"/>
        <family val="2"/>
      </rPr>
      <t xml:space="preserve">포화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트랜스지방 줄이기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유산소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절주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체중</t>
    </r>
  </si>
  <si>
    <r>
      <rPr>
        <sz val="10"/>
        <rFont val="Noto Sans CJK SC"/>
        <family val="2"/>
      </rPr>
      <t xml:space="preserve">매일 개선 판단 불가 → 추이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다음 검진 리마인드</t>
    </r>
  </si>
  <si>
    <r>
      <rPr>
        <b val="true"/>
        <sz val="10"/>
        <color rgb="FFFFFFFF"/>
        <rFont val="Noto Sans CJK SC"/>
        <family val="2"/>
      </rPr>
      <t xml:space="preserve">피처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질환</t>
    </r>
  </si>
  <si>
    <t xml:space="preserve">지방간</t>
  </si>
  <si>
    <t xml:space="preserve">지표</t>
  </si>
  <si>
    <t xml:space="preserve">라벨</t>
  </si>
  <si>
    <t xml:space="preserve">ls_activity / ls_sleep</t>
  </si>
  <si>
    <r>
      <rPr>
        <sz val="10"/>
        <rFont val="Arial"/>
        <family val="0"/>
        <charset val="1"/>
      </rPr>
      <t xml:space="preserve">●(</t>
    </r>
    <r>
      <rPr>
        <sz val="10"/>
        <rFont val="Noto Sans CJK SC"/>
        <family val="2"/>
      </rPr>
      <t xml:space="preserve">저염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</si>
  <si>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●(</t>
    </r>
    <r>
      <rPr>
        <sz val="10"/>
        <rFont val="Noto Sans CJK SC"/>
        <family val="2"/>
      </rPr>
      <t xml:space="preserve">당류</t>
    </r>
    <r>
      <rPr>
        <sz val="10"/>
        <rFont val="Arial"/>
        <family val="0"/>
        <charset val="1"/>
      </rPr>
      <t xml:space="preserve">)</t>
    </r>
  </si>
  <si>
    <t xml:space="preserve">대시보드</t>
  </si>
  <si>
    <t xml:space="preserve">혈압 측정값</t>
  </si>
  <si>
    <r>
      <rPr>
        <sz val="10"/>
        <rFont val="Noto Sans CJK SC"/>
        <family val="2"/>
      </rPr>
      <t xml:space="preserve">혈당</t>
    </r>
    <r>
      <rPr>
        <sz val="10"/>
        <rFont val="Arial"/>
        <family val="0"/>
        <charset val="1"/>
      </rPr>
      <t xml:space="preserve">·HbA1c</t>
    </r>
  </si>
  <si>
    <t xml:space="preserve">지수</t>
  </si>
  <si>
    <r>
      <rPr>
        <sz val="10"/>
        <rFont val="Arial"/>
        <family val="0"/>
        <charset val="1"/>
      </rPr>
      <t xml:space="preserve">ACR·eGFR·</t>
    </r>
    <r>
      <rPr>
        <sz val="10"/>
        <rFont val="Noto Sans CJK SC"/>
        <family val="2"/>
      </rPr>
      <t xml:space="preserve">요단백</t>
    </r>
  </si>
  <si>
    <t xml:space="preserve">AST·ALT·GGT</t>
  </si>
  <si>
    <r>
      <rPr>
        <sz val="10"/>
        <rFont val="Noto Sans CJK SC"/>
        <family val="2"/>
      </rPr>
      <t xml:space="preserve">라벨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지수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</si>
  <si>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체중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체지방 추이</t>
    </r>
  </si>
  <si>
    <t xml:space="preserve">범례</t>
  </si>
  <si>
    <t xml:space="preserve">● 주요 피처</t>
  </si>
  <si>
    <t xml:space="preserve">○ 보조 피처</t>
  </si>
  <si>
    <r>
      <rPr>
        <sz val="11"/>
        <color theme="1"/>
        <rFont val="Noto Sans CJK SC"/>
        <family val="2"/>
      </rPr>
      <t xml:space="preserve">라벨 </t>
    </r>
    <r>
      <rPr>
        <sz val="11"/>
        <color theme="1"/>
        <rFont val="Calibri"/>
        <family val="2"/>
        <charset val="1"/>
      </rPr>
      <t xml:space="preserve">= </t>
    </r>
    <r>
      <rPr>
        <sz val="11"/>
        <color theme="1"/>
        <rFont val="Noto Sans CJK SC"/>
        <family val="2"/>
      </rPr>
      <t xml:space="preserve">라벨 정의 변수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피처 제외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</si>
  <si>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밴드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판정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지표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지수 </t>
    </r>
    <r>
      <rPr>
        <sz val="11"/>
        <color theme="1"/>
        <rFont val="Calibri"/>
        <family val="2"/>
        <charset val="1"/>
      </rPr>
      <t xml:space="preserve">= </t>
    </r>
    <r>
      <rPr>
        <sz val="11"/>
        <color theme="1"/>
        <rFont val="Noto Sans CJK SC"/>
        <family val="2"/>
      </rPr>
      <t xml:space="preserve">대시보드만</t>
    </r>
  </si>
  <si>
    <t xml:space="preserve">— 미사용</t>
  </si>
  <si>
    <t xml:space="preserve">record_type</t>
  </si>
  <si>
    <t xml:space="preserve">단위</t>
  </si>
  <si>
    <t xml:space="preserve">정상</t>
  </si>
  <si>
    <r>
      <rPr>
        <b val="true"/>
        <sz val="10"/>
        <color rgb="FFFFFFFF"/>
        <rFont val="Noto Sans CJK SC"/>
        <family val="2"/>
      </rPr>
      <t xml:space="preserve">주의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경계</t>
    </r>
  </si>
  <si>
    <t xml:space="preserve">위험</t>
  </si>
  <si>
    <t xml:space="preserve">기준 출처</t>
  </si>
  <si>
    <t xml:space="preserve">입력 기기</t>
  </si>
  <si>
    <r>
      <rPr>
        <sz val="10"/>
        <rFont val="Noto Sans CJK SC"/>
        <family val="2"/>
      </rPr>
      <t xml:space="preserve">혈압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수축기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이완기</t>
    </r>
    <r>
      <rPr>
        <sz val="10"/>
        <rFont val="Arial"/>
        <family val="0"/>
        <charset val="1"/>
      </rPr>
      <t xml:space="preserve">)</t>
    </r>
  </si>
  <si>
    <t xml:space="preserve">mmHg</t>
  </si>
  <si>
    <t xml:space="preserve">&lt;120 / &lt;80</t>
  </si>
  <si>
    <r>
      <rPr>
        <sz val="10"/>
        <rFont val="Arial"/>
        <family val="0"/>
        <charset val="1"/>
      </rPr>
      <t xml:space="preserve">120~139 / 80~89 (</t>
    </r>
    <r>
      <rPr>
        <sz val="10"/>
        <rFont val="Noto Sans CJK SC"/>
        <family val="2"/>
      </rPr>
      <t xml:space="preserve">전단계</t>
    </r>
    <r>
      <rPr>
        <sz val="10"/>
        <rFont val="Arial"/>
        <family val="0"/>
        <charset val="1"/>
      </rPr>
      <t xml:space="preserve">)</t>
    </r>
  </si>
  <si>
    <t xml:space="preserve">≥140 / ≥90</t>
  </si>
  <si>
    <t xml:space="preserve">대한고혈압학회 진료지침</t>
  </si>
  <si>
    <r>
      <rPr>
        <sz val="10"/>
        <rFont val="Noto Sans CJK SC"/>
        <family val="2"/>
      </rPr>
      <t xml:space="preserve">약 복용자는 목표 </t>
    </r>
    <r>
      <rPr>
        <sz val="10"/>
        <rFont val="Arial"/>
        <family val="0"/>
        <charset val="1"/>
      </rPr>
      <t xml:space="preserve">&lt;130/80 (</t>
    </r>
    <r>
      <rPr>
        <sz val="10"/>
        <rFont val="Noto Sans CJK SC"/>
        <family val="2"/>
      </rPr>
      <t xml:space="preserve">관리 모드</t>
    </r>
    <r>
      <rPr>
        <sz val="10"/>
        <rFont val="Arial"/>
        <family val="0"/>
        <charset val="1"/>
      </rPr>
      <t xml:space="preserve">)</t>
    </r>
  </si>
  <si>
    <t xml:space="preserve">공복혈당</t>
  </si>
  <si>
    <t xml:space="preserve">mg/dL</t>
  </si>
  <si>
    <t xml:space="preserve">&lt;100</t>
  </si>
  <si>
    <r>
      <rPr>
        <sz val="10"/>
        <rFont val="Arial"/>
        <family val="0"/>
        <charset val="1"/>
      </rPr>
      <t xml:space="preserve">100~125 (</t>
    </r>
    <r>
      <rPr>
        <sz val="10"/>
        <rFont val="Noto Sans CJK SC"/>
        <family val="2"/>
      </rPr>
      <t xml:space="preserve">공복혈당장애</t>
    </r>
    <r>
      <rPr>
        <sz val="10"/>
        <rFont val="Arial"/>
        <family val="0"/>
        <charset val="1"/>
      </rPr>
      <t xml:space="preserve">)</t>
    </r>
  </si>
  <si>
    <t xml:space="preserve">≥126</t>
  </si>
  <si>
    <t xml:space="preserve">대한당뇨병학회</t>
  </si>
  <si>
    <r>
      <rPr>
        <sz val="10"/>
        <rFont val="Noto Sans CJK SC"/>
        <family val="2"/>
      </rPr>
      <t xml:space="preserve">식후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시간 혈당</t>
    </r>
  </si>
  <si>
    <t xml:space="preserve">&lt;140</t>
  </si>
  <si>
    <t xml:space="preserve">140~199</t>
  </si>
  <si>
    <t xml:space="preserve">≥200</t>
  </si>
  <si>
    <t xml:space="preserve">당화혈색소</t>
  </si>
  <si>
    <t xml:space="preserve">%</t>
  </si>
  <si>
    <t xml:space="preserve">&lt;5.7</t>
  </si>
  <si>
    <t xml:space="preserve">5.7~6.4</t>
  </si>
  <si>
    <t xml:space="preserve">≥6.5</t>
  </si>
  <si>
    <r>
      <rPr>
        <sz val="10"/>
        <rFont val="Noto Sans CJK SC"/>
        <family val="2"/>
      </rPr>
      <t xml:space="preserve">관리 모드 목표 </t>
    </r>
    <r>
      <rPr>
        <sz val="10"/>
        <rFont val="Arial"/>
        <family val="0"/>
        <charset val="1"/>
      </rPr>
      <t xml:space="preserve">&lt;6.5</t>
    </r>
  </si>
  <si>
    <t xml:space="preserve">kg/m²</t>
  </si>
  <si>
    <t xml:space="preserve">18.5~22.9</t>
  </si>
  <si>
    <r>
      <rPr>
        <sz val="10"/>
        <rFont val="Arial"/>
        <family val="0"/>
        <charset val="1"/>
      </rPr>
      <t xml:space="preserve">23~24.9 (</t>
    </r>
    <r>
      <rPr>
        <sz val="10"/>
        <rFont val="Noto Sans CJK SC"/>
        <family val="2"/>
      </rPr>
      <t xml:space="preserve">과체중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</si>
  <si>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≥25 (</t>
    </r>
    <r>
      <rPr>
        <sz val="10"/>
        <rFont val="Noto Sans CJK SC"/>
        <family val="2"/>
      </rPr>
      <t xml:space="preserve">비만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</si>
  <si>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대한비만학회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아시아 기준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</si>
  <si>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&lt;18.5 </t>
    </r>
    <r>
      <rPr>
        <sz val="10"/>
        <rFont val="Noto Sans CJK SC"/>
        <family val="2"/>
      </rPr>
      <t xml:space="preserve">저체중 별도 표시</t>
    </r>
  </si>
  <si>
    <t xml:space="preserve">waist</t>
  </si>
  <si>
    <t xml:space="preserve">cm</t>
  </si>
  <si>
    <r>
      <rPr>
        <sz val="10"/>
        <rFont val="Noto Sans CJK SC"/>
        <family val="2"/>
      </rPr>
      <t xml:space="preserve">남 </t>
    </r>
    <r>
      <rPr>
        <sz val="10"/>
        <rFont val="Arial"/>
        <family val="0"/>
        <charset val="1"/>
      </rPr>
      <t xml:space="preserve">&lt;90 / </t>
    </r>
    <r>
      <rPr>
        <sz val="10"/>
        <rFont val="Noto Sans CJK SC"/>
        <family val="2"/>
      </rPr>
      <t xml:space="preserve">여 </t>
    </r>
    <r>
      <rPr>
        <sz val="10"/>
        <rFont val="Arial"/>
        <family val="0"/>
        <charset val="1"/>
      </rPr>
      <t xml:space="preserve">&lt;85</t>
    </r>
  </si>
  <si>
    <r>
      <rPr>
        <sz val="10"/>
        <rFont val="Noto Sans CJK SC"/>
        <family val="2"/>
      </rPr>
      <t xml:space="preserve">남 ≥</t>
    </r>
    <r>
      <rPr>
        <sz val="10"/>
        <rFont val="Arial"/>
        <family val="0"/>
        <charset val="1"/>
      </rPr>
      <t xml:space="preserve">90 / </t>
    </r>
    <r>
      <rPr>
        <sz val="10"/>
        <rFont val="Noto Sans CJK SC"/>
        <family val="2"/>
      </rPr>
      <t xml:space="preserve">여 ≥</t>
    </r>
    <r>
      <rPr>
        <sz val="10"/>
        <rFont val="Arial"/>
        <family val="0"/>
        <charset val="1"/>
      </rPr>
      <t xml:space="preserve">85</t>
    </r>
  </si>
  <si>
    <t xml:space="preserve">대한비만학회</t>
  </si>
  <si>
    <t xml:space="preserve">대사증후군 기준</t>
  </si>
  <si>
    <r>
      <rPr>
        <sz val="10"/>
        <rFont val="Arial"/>
        <family val="0"/>
        <charset val="1"/>
      </rPr>
      <t xml:space="preserve">LDL </t>
    </r>
    <r>
      <rPr>
        <sz val="10"/>
        <rFont val="Noto Sans CJK SC"/>
        <family val="2"/>
      </rPr>
      <t xml:space="preserve">콜레스테롤</t>
    </r>
  </si>
  <si>
    <r>
      <rPr>
        <sz val="10"/>
        <rFont val="Arial"/>
        <family val="0"/>
        <charset val="1"/>
      </rPr>
      <t xml:space="preserve">&lt;100 </t>
    </r>
    <r>
      <rPr>
        <sz val="10"/>
        <rFont val="Noto Sans CJK SC"/>
        <family val="2"/>
      </rPr>
      <t xml:space="preserve">적정 </t>
    </r>
    <r>
      <rPr>
        <sz val="10"/>
        <rFont val="Arial"/>
        <family val="0"/>
        <charset val="1"/>
      </rPr>
      <t xml:space="preserve">· 100~129 </t>
    </r>
    <r>
      <rPr>
        <sz val="10"/>
        <rFont val="Noto Sans CJK SC"/>
        <family val="2"/>
      </rPr>
      <t xml:space="preserve">정상</t>
    </r>
  </si>
  <si>
    <t xml:space="preserve">130~159</t>
  </si>
  <si>
    <t xml:space="preserve">≥160</t>
  </si>
  <si>
    <r>
      <rPr>
        <sz val="10"/>
        <rFont val="Noto Sans CJK SC"/>
        <family val="2"/>
      </rPr>
      <t xml:space="preserve">한국지질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동맥경화학회</t>
    </r>
  </si>
  <si>
    <t xml:space="preserve">총콜레스테롤</t>
  </si>
  <si>
    <t xml:space="preserve">&lt;200</t>
  </si>
  <si>
    <t xml:space="preserve">200~239</t>
  </si>
  <si>
    <t xml:space="preserve">≥240</t>
  </si>
  <si>
    <t xml:space="preserve">중성지방</t>
  </si>
  <si>
    <t xml:space="preserve">&lt;150</t>
  </si>
  <si>
    <t xml:space="preserve">150~199</t>
  </si>
  <si>
    <r>
      <rPr>
        <sz val="10"/>
        <rFont val="Arial"/>
        <family val="0"/>
        <charset val="1"/>
      </rPr>
      <t xml:space="preserve">HDL </t>
    </r>
    <r>
      <rPr>
        <sz val="10"/>
        <rFont val="Noto Sans CJK SC"/>
        <family val="2"/>
      </rPr>
      <t xml:space="preserve">콜레스테롤</t>
    </r>
  </si>
  <si>
    <r>
      <rPr>
        <sz val="10"/>
        <rFont val="Arial"/>
        <family val="0"/>
        <charset val="1"/>
      </rPr>
      <t xml:space="preserve">≥60 (</t>
    </r>
    <r>
      <rPr>
        <sz val="10"/>
        <rFont val="Noto Sans CJK SC"/>
        <family val="2"/>
      </rPr>
      <t xml:space="preserve">높을수록 좋음</t>
    </r>
    <r>
      <rPr>
        <sz val="10"/>
        <rFont val="Arial"/>
        <family val="0"/>
        <charset val="1"/>
      </rPr>
      <t xml:space="preserve">)</t>
    </r>
  </si>
  <si>
    <t xml:space="preserve">40~59</t>
  </si>
  <si>
    <t xml:space="preserve">&lt;40</t>
  </si>
  <si>
    <t xml:space="preserve">방향 반대</t>
  </si>
  <si>
    <t xml:space="preserve">요단백 스틱</t>
  </si>
  <si>
    <t xml:space="preserve">음성</t>
  </si>
  <si>
    <t xml:space="preserve">±</t>
  </si>
  <si>
    <r>
      <rPr>
        <sz val="10"/>
        <rFont val="Arial"/>
        <family val="0"/>
        <charset val="1"/>
      </rPr>
      <t xml:space="preserve">1+ </t>
    </r>
    <r>
      <rPr>
        <sz val="10"/>
        <rFont val="Noto Sans CJK SC"/>
        <family val="2"/>
      </rPr>
      <t xml:space="preserve">이상</t>
    </r>
  </si>
  <si>
    <r>
      <rPr>
        <sz val="10"/>
        <rFont val="Arial"/>
        <family val="0"/>
        <charset val="1"/>
      </rPr>
      <t xml:space="preserve">KDIGO / </t>
    </r>
    <r>
      <rPr>
        <sz val="10"/>
        <rFont val="Noto Sans CJK SC"/>
        <family val="2"/>
      </rPr>
      <t xml:space="preserve">스틱 제조사</t>
    </r>
  </si>
  <si>
    <t xml:space="preserve">소변 스틱</t>
  </si>
  <si>
    <t xml:space="preserve">추정 사구체여과율</t>
  </si>
  <si>
    <t xml:space="preserve">mL/min/1.73m²</t>
  </si>
  <si>
    <t xml:space="preserve">≥90</t>
  </si>
  <si>
    <t xml:space="preserve">60~89</t>
  </si>
  <si>
    <t xml:space="preserve">&lt;60</t>
  </si>
  <si>
    <t xml:space="preserve">KDIGO 2024 (CKD-EPI 2021)</t>
  </si>
  <si>
    <r>
      <rPr>
        <sz val="10"/>
        <rFont val="Noto Sans CJK SC"/>
        <family val="2"/>
      </rPr>
      <t xml:space="preserve">검진 입력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크레아티닌</t>
    </r>
    <r>
      <rPr>
        <sz val="10"/>
        <rFont val="Arial"/>
        <family val="0"/>
        <charset val="1"/>
      </rPr>
      <t xml:space="preserve">)</t>
    </r>
  </si>
  <si>
    <t xml:space="preserve">acr</t>
  </si>
  <si>
    <r>
      <rPr>
        <sz val="10"/>
        <rFont val="Noto Sans CJK SC"/>
        <family val="2"/>
      </rPr>
      <t xml:space="preserve">요알부민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크레아티닌비</t>
    </r>
  </si>
  <si>
    <t xml:space="preserve">mg/g</t>
  </si>
  <si>
    <t xml:space="preserve">&lt;30</t>
  </si>
  <si>
    <t xml:space="preserve">30~299</t>
  </si>
  <si>
    <t xml:space="preserve">≥300</t>
  </si>
  <si>
    <t xml:space="preserve">KDIGO</t>
  </si>
  <si>
    <r>
      <rPr>
        <sz val="10"/>
        <rFont val="Noto Sans CJK SC"/>
        <family val="2"/>
      </rPr>
      <t xml:space="preserve">지방간 지수 </t>
    </r>
    <r>
      <rPr>
        <sz val="10"/>
        <rFont val="Arial"/>
        <family val="0"/>
        <charset val="1"/>
      </rPr>
      <t xml:space="preserve">HSI</t>
    </r>
  </si>
  <si>
    <t xml:space="preserve">점</t>
  </si>
  <si>
    <t xml:space="preserve">≤30</t>
  </si>
  <si>
    <t xml:space="preserve">30~36</t>
  </si>
  <si>
    <t xml:space="preserve">&gt;36</t>
  </si>
  <si>
    <t xml:space="preserve">Lee et al. 2010</t>
  </si>
  <si>
    <r>
      <rPr>
        <sz val="10"/>
        <rFont val="Noto Sans CJK SC"/>
        <family val="2"/>
      </rPr>
      <t xml:space="preserve">계산</t>
    </r>
    <r>
      <rPr>
        <sz val="10"/>
        <rFont val="Arial"/>
        <family val="0"/>
        <charset val="1"/>
      </rPr>
      <t xml:space="preserve">(AST·ALT·BMI)</t>
    </r>
  </si>
  <si>
    <t xml:space="preserve">초음파 대리</t>
  </si>
  <si>
    <r>
      <rPr>
        <sz val="10"/>
        <rFont val="Noto Sans CJK SC"/>
        <family val="2"/>
      </rPr>
      <t xml:space="preserve">지방간 지수 </t>
    </r>
    <r>
      <rPr>
        <sz val="10"/>
        <rFont val="Arial"/>
        <family val="0"/>
        <charset val="1"/>
      </rPr>
      <t xml:space="preserve">FLI</t>
    </r>
  </si>
  <si>
    <t xml:space="preserve">30~59</t>
  </si>
  <si>
    <t xml:space="preserve">≥60</t>
  </si>
  <si>
    <t xml:space="preserve">Bedogni et al. 2006</t>
  </si>
  <si>
    <r>
      <rPr>
        <sz val="10"/>
        <rFont val="Noto Sans CJK SC"/>
        <family val="2"/>
      </rPr>
      <t xml:space="preserve">계산</t>
    </r>
    <r>
      <rPr>
        <sz val="10"/>
        <rFont val="Arial"/>
        <family val="0"/>
        <charset val="1"/>
      </rPr>
      <t xml:space="preserve">(TG·BMI·GGT·</t>
    </r>
    <r>
      <rPr>
        <sz val="10"/>
        <rFont val="Noto Sans CJK SC"/>
        <family val="2"/>
      </rPr>
      <t xml:space="preserve">허리둘레</t>
    </r>
    <r>
      <rPr>
        <sz val="10"/>
        <rFont val="Arial"/>
        <family val="0"/>
        <charset val="1"/>
      </rPr>
      <t xml:space="preserve">)</t>
    </r>
  </si>
  <si>
    <t xml:space="preserve">spo2</t>
  </si>
  <si>
    <t xml:space="preserve">산소포화도</t>
  </si>
  <si>
    <t xml:space="preserve">≥95</t>
  </si>
  <si>
    <t xml:space="preserve">90~94</t>
  </si>
  <si>
    <t xml:space="preserve">&lt;90</t>
  </si>
  <si>
    <t xml:space="preserve">보조 지표</t>
  </si>
  <si>
    <r>
      <rPr>
        <sz val="10"/>
        <rFont val="Noto Sans CJK SC"/>
        <family val="2"/>
      </rPr>
      <t xml:space="preserve">펄스옥시미터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워치</t>
    </r>
  </si>
  <si>
    <t xml:space="preserve">모델 미사용</t>
  </si>
  <si>
    <t xml:space="preserve">sleep</t>
  </si>
  <si>
    <t xml:space="preserve">수면시간</t>
  </si>
  <si>
    <t xml:space="preserve">시간</t>
  </si>
  <si>
    <t xml:space="preserve">7~9</t>
  </si>
  <si>
    <t xml:space="preserve">6~6.9 / 9~10</t>
  </si>
  <si>
    <t xml:space="preserve">&lt;6 / &gt;10</t>
  </si>
  <si>
    <t xml:space="preserve">보조</t>
  </si>
  <si>
    <r>
      <rPr>
        <sz val="10"/>
        <rFont val="Noto Sans CJK SC"/>
        <family val="2"/>
      </rPr>
      <t xml:space="preserve">워치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자기보고</t>
    </r>
  </si>
  <si>
    <r>
      <rPr>
        <b val="true"/>
        <sz val="10"/>
        <color rgb="FFFFFFFF"/>
        <rFont val="Noto Sans CJK SC"/>
        <family val="2"/>
      </rPr>
      <t xml:space="preserve">라벨 </t>
    </r>
    <r>
      <rPr>
        <b val="true"/>
        <sz val="10"/>
        <color rgb="FFFFFFFF"/>
        <rFont val="Arial"/>
        <family val="0"/>
        <charset val="1"/>
      </rPr>
      <t xml:space="preserve">= 1 </t>
    </r>
    <r>
      <rPr>
        <b val="true"/>
        <sz val="10"/>
        <color rgb="FFFFFFFF"/>
        <rFont val="Noto Sans CJK SC"/>
        <family val="2"/>
      </rPr>
      <t xml:space="preserve">조건</t>
    </r>
  </si>
  <si>
    <r>
      <rPr>
        <b val="true"/>
        <sz val="10"/>
        <color rgb="FFFFFFFF"/>
        <rFont val="Noto Sans CJK SC"/>
        <family val="2"/>
      </rPr>
      <t xml:space="preserve">피처에서 제외할 변수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누수 방지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</si>
  <si>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D3 BRFSS</t>
  </si>
  <si>
    <t xml:space="preserve">모델 여부</t>
  </si>
  <si>
    <r>
      <rPr>
        <sz val="10"/>
        <rFont val="Noto Sans CJK SC"/>
        <family val="2"/>
      </rPr>
      <t xml:space="preserve">의사진단 또는 혈압약 또는 </t>
    </r>
    <r>
      <rPr>
        <sz val="10"/>
        <rFont val="Arial"/>
        <family val="0"/>
        <charset val="1"/>
      </rPr>
      <t xml:space="preserve">SBP≥140/DBP≥90</t>
    </r>
  </si>
  <si>
    <t xml:space="preserve">systolic_bp, diastolic_bp, has_htn, htn_medication</t>
  </si>
  <si>
    <r>
      <rPr>
        <sz val="10"/>
        <rFont val="Noto Sans CJK SC"/>
        <family val="2"/>
      </rPr>
      <t xml:space="preserve">진단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약물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측정</t>
    </r>
  </si>
  <si>
    <t xml:space="preserve">측정만</t>
  </si>
  <si>
    <r>
      <rPr>
        <sz val="10"/>
        <rFont val="Arial"/>
        <family val="0"/>
        <charset val="1"/>
      </rPr>
      <t xml:space="preserve">HighBP(</t>
    </r>
    <r>
      <rPr>
        <sz val="10"/>
        <rFont val="Noto Sans CJK SC"/>
        <family val="2"/>
      </rPr>
      <t xml:space="preserve">자기보고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</si>
  <si>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모델 </t>
    </r>
    <r>
      <rPr>
        <sz val="10"/>
        <rFont val="Arial"/>
        <family val="0"/>
        <charset val="1"/>
      </rPr>
      <t xml:space="preserve">(S2)</t>
    </r>
  </si>
  <si>
    <r>
      <rPr>
        <sz val="10"/>
        <rFont val="Noto Sans CJK SC"/>
        <family val="2"/>
      </rPr>
      <t xml:space="preserve">의사진단 또는 당뇨약 또는 </t>
    </r>
    <r>
      <rPr>
        <sz val="10"/>
        <rFont val="Arial"/>
        <family val="0"/>
        <charset val="1"/>
      </rPr>
      <t xml:space="preserve">FPG≥126 / HbA1c≥6.5</t>
    </r>
  </si>
  <si>
    <t xml:space="preserve">fasting_glucose, hba1c, has_dm, dm_medication</t>
  </si>
  <si>
    <t xml:space="preserve">모두</t>
  </si>
  <si>
    <t xml:space="preserve">공복혈당만</t>
  </si>
  <si>
    <t xml:space="preserve">BMI≥25</t>
  </si>
  <si>
    <r>
      <rPr>
        <sz val="10"/>
        <rFont val="Arial"/>
        <family val="0"/>
        <charset val="1"/>
      </rPr>
      <t xml:space="preserve">— (</t>
    </r>
    <r>
      <rPr>
        <sz val="10"/>
        <rFont val="Noto Sans CJK SC"/>
        <family val="2"/>
      </rPr>
      <t xml:space="preserve">모델 없음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</si>
  <si>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BMI(5</t>
    </r>
    <r>
      <rPr>
        <sz val="10"/>
        <rFont val="Noto Sans CJK SC"/>
        <family val="2"/>
      </rPr>
      <t xml:space="preserve">단위</t>
    </r>
    <r>
      <rPr>
        <sz val="10"/>
        <rFont val="Arial"/>
        <family val="0"/>
        <charset val="1"/>
      </rPr>
      <t xml:space="preserve">)</t>
    </r>
  </si>
  <si>
    <t xml:space="preserve">밴드만</t>
  </si>
  <si>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기준 중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개 이상</t>
    </r>
  </si>
  <si>
    <r>
      <rPr>
        <sz val="10"/>
        <rFont val="Arial"/>
        <family val="0"/>
        <charset val="1"/>
      </rPr>
      <t xml:space="preserve">— (</t>
    </r>
    <r>
      <rPr>
        <sz val="10"/>
        <rFont val="Noto Sans CJK SC"/>
        <family val="2"/>
      </rPr>
      <t xml:space="preserve">규칙 판정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</si>
  <si>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개 전부</t>
    </r>
  </si>
  <si>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약물 제외</t>
    </r>
    <r>
      <rPr>
        <sz val="10"/>
        <rFont val="Arial"/>
        <family val="0"/>
        <charset val="1"/>
      </rPr>
      <t xml:space="preserve">)</t>
    </r>
  </si>
  <si>
    <t xml:space="preserve">불가</t>
  </si>
  <si>
    <r>
      <rPr>
        <sz val="10"/>
        <rFont val="Noto Sans CJK SC"/>
        <family val="2"/>
      </rPr>
      <t xml:space="preserve">규칙 </t>
    </r>
    <r>
      <rPr>
        <sz val="10"/>
        <rFont val="Arial"/>
        <family val="0"/>
        <charset val="1"/>
      </rPr>
      <t xml:space="preserve">(S4)</t>
    </r>
  </si>
  <si>
    <r>
      <rPr>
        <sz val="10"/>
        <rFont val="Arial"/>
        <family val="0"/>
        <charset val="1"/>
      </rPr>
      <t xml:space="preserve">ACR≥30 </t>
    </r>
    <r>
      <rPr>
        <sz val="10"/>
        <rFont val="Noto Sans CJK SC"/>
        <family val="2"/>
      </rPr>
      <t xml:space="preserve">또는 </t>
    </r>
    <r>
      <rPr>
        <sz val="10"/>
        <rFont val="Arial"/>
        <family val="0"/>
        <charset val="1"/>
      </rPr>
      <t xml:space="preserve">eGFR&lt;60 </t>
    </r>
    <r>
      <rPr>
        <sz val="10"/>
        <rFont val="Noto Sans CJK SC"/>
        <family val="2"/>
      </rPr>
      <t xml:space="preserve">또는 스틱 </t>
    </r>
    <r>
      <rPr>
        <sz val="10"/>
        <rFont val="Arial"/>
        <family val="0"/>
        <charset val="1"/>
      </rPr>
      <t xml:space="preserve">1+↑</t>
    </r>
  </si>
  <si>
    <t xml:space="preserve">acr, egfr, creatinine, urine_protein</t>
  </si>
  <si>
    <r>
      <rPr>
        <sz val="10"/>
        <rFont val="Arial"/>
        <family val="0"/>
        <charset val="1"/>
      </rPr>
      <t xml:space="preserve">ACR·eGFR·</t>
    </r>
    <r>
      <rPr>
        <sz val="10"/>
        <rFont val="Noto Sans CJK SC"/>
        <family val="2"/>
      </rPr>
      <t xml:space="preserve">스틱</t>
    </r>
  </si>
  <si>
    <r>
      <rPr>
        <sz val="10"/>
        <rFont val="Noto Sans CJK SC"/>
        <family val="2"/>
      </rPr>
      <t xml:space="preserve">스틱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크레아티닌</t>
    </r>
  </si>
  <si>
    <t xml:space="preserve">ACR·eGFR</t>
  </si>
  <si>
    <r>
      <rPr>
        <sz val="10"/>
        <rFont val="Noto Sans CJK SC"/>
        <family val="2"/>
      </rPr>
      <t xml:space="preserve">모델 </t>
    </r>
    <r>
      <rPr>
        <sz val="10"/>
        <rFont val="Arial"/>
        <family val="0"/>
        <charset val="1"/>
      </rPr>
      <t xml:space="preserve">S4 </t>
    </r>
    <r>
      <rPr>
        <sz val="10"/>
        <rFont val="Noto Sans CJK SC"/>
        <family val="2"/>
      </rPr>
      <t xml:space="preserve">판단</t>
    </r>
  </si>
  <si>
    <r>
      <rPr>
        <sz val="10"/>
        <rFont val="Noto Sans CJK SC"/>
        <family val="2"/>
      </rPr>
      <t xml:space="preserve">지방간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대리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</si>
  <si>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HSI&gt;36 </t>
    </r>
    <r>
      <rPr>
        <sz val="10"/>
        <rFont val="Noto Sans CJK SC"/>
        <family val="2"/>
      </rPr>
      <t xml:space="preserve">또는 </t>
    </r>
    <r>
      <rPr>
        <sz val="10"/>
        <rFont val="Arial"/>
        <family val="0"/>
        <charset val="1"/>
      </rPr>
      <t xml:space="preserve">FLI≥60</t>
    </r>
  </si>
  <si>
    <r>
      <rPr>
        <sz val="10"/>
        <rFont val="Arial"/>
        <family val="0"/>
        <charset val="1"/>
      </rPr>
      <t xml:space="preserve">AST·ALT·TG·BMI·</t>
    </r>
    <r>
      <rPr>
        <sz val="10"/>
        <rFont val="Noto Sans CJK SC"/>
        <family val="2"/>
      </rPr>
      <t xml:space="preserve">허리</t>
    </r>
  </si>
  <si>
    <t xml:space="preserve">동일</t>
  </si>
  <si>
    <r>
      <rPr>
        <sz val="10"/>
        <rFont val="Noto Sans CJK SC"/>
        <family val="2"/>
      </rPr>
      <t xml:space="preserve">대리 </t>
    </r>
    <r>
      <rPr>
        <sz val="10"/>
        <rFont val="Arial"/>
        <family val="0"/>
        <charset val="1"/>
      </rPr>
      <t xml:space="preserve">+ CAP </t>
    </r>
    <r>
      <rPr>
        <sz val="10"/>
        <rFont val="Noto Sans CJK SC"/>
        <family val="2"/>
      </rPr>
      <t xml:space="preserve">검증</t>
    </r>
  </si>
  <si>
    <t xml:space="preserve">지수만</t>
  </si>
  <si>
    <r>
      <rPr>
        <sz val="10"/>
        <rFont val="Noto Sans CJK SC"/>
        <family val="2"/>
      </rPr>
      <t xml:space="preserve">진단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약물 또는 </t>
    </r>
    <r>
      <rPr>
        <sz val="10"/>
        <rFont val="Arial"/>
        <family val="0"/>
        <charset val="1"/>
      </rPr>
      <t xml:space="preserve">LDL≥160/</t>
    </r>
    <r>
      <rPr>
        <sz val="10"/>
        <rFont val="Noto Sans CJK SC"/>
        <family val="2"/>
      </rPr>
      <t xml:space="preserve">총콜≥</t>
    </r>
    <r>
      <rPr>
        <sz val="10"/>
        <rFont val="Arial"/>
        <family val="0"/>
        <charset val="1"/>
      </rPr>
      <t xml:space="preserve">240/TG≥200/HDL&lt;40</t>
    </r>
  </si>
  <si>
    <t xml:space="preserve">ldl, total_chol, triglycerides, hdl, lipid_medication</t>
  </si>
  <si>
    <t xml:space="preserve">HighChol</t>
  </si>
  <si>
    <r>
      <rPr>
        <b val="true"/>
        <sz val="10"/>
        <color rgb="FFFFFFFF"/>
        <rFont val="Noto Sans CJK SC"/>
        <family val="2"/>
      </rPr>
      <t xml:space="preserve">지표</t>
    </r>
    <r>
      <rPr>
        <b val="true"/>
        <sz val="10"/>
        <color rgb="FFFFFFFF"/>
        <rFont val="Arial"/>
        <family val="0"/>
        <charset val="1"/>
      </rPr>
      <t xml:space="preserve">(record_type)</t>
    </r>
  </si>
  <si>
    <r>
      <rPr>
        <b val="true"/>
        <sz val="10"/>
        <color rgb="FFFFFFFF"/>
        <rFont val="Arial"/>
        <family val="0"/>
        <charset val="1"/>
      </rPr>
      <t xml:space="preserve">0% </t>
    </r>
    <r>
      <rPr>
        <b val="true"/>
        <sz val="10"/>
        <color rgb="FFFFFFFF"/>
        <rFont val="Noto Sans CJK SC"/>
        <family val="2"/>
      </rPr>
      <t xml:space="preserve">기준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정상 상한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</si>
  <si>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100% </t>
    </r>
    <r>
      <rPr>
        <b val="true"/>
        <sz val="10"/>
        <color rgb="FFFFFFFF"/>
        <rFont val="Noto Sans CJK SC"/>
        <family val="2"/>
      </rPr>
      <t xml:space="preserve">기준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진단 기준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</si>
  <si>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근접도 계산식</t>
  </si>
  <si>
    <t xml:space="preserve">예시</t>
  </si>
  <si>
    <t xml:space="preserve">질환 근접도 합산</t>
  </si>
  <si>
    <r>
      <rPr>
        <b val="true"/>
        <sz val="10"/>
        <color rgb="FFFFFFFF"/>
        <rFont val="Noto Sans CJK SC"/>
        <family val="2"/>
      </rPr>
      <t xml:space="preserve">환자군 백분위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보조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</si>
  <si>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갱신 시점</t>
  </si>
  <si>
    <t xml:space="preserve">systolic_bp</t>
  </si>
  <si>
    <t xml:space="preserve">120</t>
  </si>
  <si>
    <t xml:space="preserve">140</t>
  </si>
  <si>
    <t xml:space="preserve">(x−120)/(140−120)×100</t>
  </si>
  <si>
    <r>
      <rPr>
        <sz val="10"/>
        <rFont val="Arial"/>
        <family val="0"/>
        <charset val="1"/>
      </rPr>
      <t xml:space="preserve">130 → 50% / 150 → 150%(</t>
    </r>
    <r>
      <rPr>
        <sz val="10"/>
        <rFont val="Noto Sans CJK SC"/>
        <family val="2"/>
      </rPr>
      <t xml:space="preserve">넘어감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</si>
  <si>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max(SBP, DBP </t>
    </r>
    <r>
      <rPr>
        <sz val="10"/>
        <rFont val="Noto Sans CJK SC"/>
        <family val="2"/>
      </rPr>
      <t xml:space="preserve">근접도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</si>
  <si>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D1 </t>
    </r>
    <r>
      <rPr>
        <sz val="10"/>
        <rFont val="Noto Sans CJK SC"/>
        <family val="2"/>
      </rPr>
      <t xml:space="preserve">고혈압 진단군의 </t>
    </r>
    <r>
      <rPr>
        <sz val="10"/>
        <rFont val="Arial"/>
        <family val="0"/>
        <charset val="1"/>
      </rPr>
      <t xml:space="preserve">SBP </t>
    </r>
    <r>
      <rPr>
        <sz val="10"/>
        <rFont val="Noto Sans CJK SC"/>
        <family val="2"/>
      </rPr>
      <t xml:space="preserve">분포에서 사용자 값의 백분위</t>
    </r>
  </si>
  <si>
    <t xml:space="preserve">혈압 기록 시</t>
  </si>
  <si>
    <r>
      <rPr>
        <sz val="10"/>
        <rFont val="Noto Sans CJK SC"/>
        <family val="2"/>
      </rPr>
      <t xml:space="preserve">약 복용자는 </t>
    </r>
    <r>
      <rPr>
        <sz val="10"/>
        <rFont val="Arial"/>
        <family val="0"/>
        <charset val="1"/>
      </rPr>
      <t xml:space="preserve">100% </t>
    </r>
    <r>
      <rPr>
        <sz val="10"/>
        <rFont val="Noto Sans CJK SC"/>
        <family val="2"/>
      </rPr>
      <t xml:space="preserve">기준을 </t>
    </r>
    <r>
      <rPr>
        <sz val="10"/>
        <rFont val="Arial"/>
        <family val="0"/>
        <charset val="1"/>
      </rPr>
      <t xml:space="preserve">130</t>
    </r>
    <r>
      <rPr>
        <sz val="10"/>
        <rFont val="Noto Sans CJK SC"/>
        <family val="2"/>
      </rPr>
      <t xml:space="preserve">으로 낮춤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관리 모드</t>
    </r>
    <r>
      <rPr>
        <sz val="10"/>
        <rFont val="Arial"/>
        <family val="0"/>
        <charset val="1"/>
      </rPr>
      <t xml:space="preserve">)</t>
    </r>
  </si>
  <si>
    <t xml:space="preserve">diastolic_bp</t>
  </si>
  <si>
    <t xml:space="preserve">80</t>
  </si>
  <si>
    <t xml:space="preserve">90</t>
  </si>
  <si>
    <t xml:space="preserve">(x−80)/(90−80)×100</t>
  </si>
  <si>
    <t xml:space="preserve">85 → 50%</t>
  </si>
  <si>
    <t xml:space="preserve">100</t>
  </si>
  <si>
    <t xml:space="preserve">126</t>
  </si>
  <si>
    <t xml:space="preserve">(x−100)/(126−100)×100</t>
  </si>
  <si>
    <t xml:space="preserve">113 → 50% / 140 → 154%</t>
  </si>
  <si>
    <r>
      <rPr>
        <sz val="10"/>
        <rFont val="Arial"/>
        <family val="0"/>
        <charset val="1"/>
      </rPr>
      <t xml:space="preserve">max(FPG, </t>
    </r>
    <r>
      <rPr>
        <sz val="10"/>
        <rFont val="Noto Sans CJK SC"/>
        <family val="2"/>
      </rPr>
      <t xml:space="preserve">식후</t>
    </r>
    <r>
      <rPr>
        <sz val="10"/>
        <rFont val="Arial"/>
        <family val="0"/>
        <charset val="1"/>
      </rPr>
      <t xml:space="preserve">, HbA1c)</t>
    </r>
  </si>
  <si>
    <r>
      <rPr>
        <sz val="10"/>
        <rFont val="Arial"/>
        <family val="0"/>
        <charset val="1"/>
      </rPr>
      <t xml:space="preserve">D1 </t>
    </r>
    <r>
      <rPr>
        <sz val="10"/>
        <rFont val="Noto Sans CJK SC"/>
        <family val="2"/>
      </rPr>
      <t xml:space="preserve">당뇨 진단군 </t>
    </r>
    <r>
      <rPr>
        <sz val="10"/>
        <rFont val="Arial"/>
        <family val="0"/>
        <charset val="1"/>
      </rPr>
      <t xml:space="preserve">FPG </t>
    </r>
    <r>
      <rPr>
        <sz val="10"/>
        <rFont val="Noto Sans CJK SC"/>
        <family val="2"/>
      </rPr>
      <t xml:space="preserve">백분위</t>
    </r>
  </si>
  <si>
    <t xml:space="preserve">혈당 기록 시</t>
  </si>
  <si>
    <t xml:space="preserve">200</t>
  </si>
  <si>
    <t xml:space="preserve">(x−140)/60×100</t>
  </si>
  <si>
    <t xml:space="preserve">170 → 50%</t>
  </si>
  <si>
    <t xml:space="preserve">5.7</t>
  </si>
  <si>
    <t xml:space="preserve">6.5</t>
  </si>
  <si>
    <t xml:space="preserve">(x−5.7)/0.8×100</t>
  </si>
  <si>
    <t xml:space="preserve">6.1 → 50%</t>
  </si>
  <si>
    <t xml:space="preserve">검진 입력 시</t>
  </si>
  <si>
    <t xml:space="preserve">23</t>
  </si>
  <si>
    <t xml:space="preserve">25</t>
  </si>
  <si>
    <t xml:space="preserve">(x−23)/2×100</t>
  </si>
  <si>
    <t xml:space="preserve">24 → 50% / 28 → 250%</t>
  </si>
  <si>
    <r>
      <rPr>
        <sz val="10"/>
        <rFont val="Arial"/>
        <family val="0"/>
        <charset val="1"/>
      </rPr>
      <t xml:space="preserve">max(BMI, </t>
    </r>
    <r>
      <rPr>
        <sz val="10"/>
        <rFont val="Noto Sans CJK SC"/>
        <family val="2"/>
      </rPr>
      <t xml:space="preserve">허리둘레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</si>
  <si>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D2 BMI </t>
    </r>
    <r>
      <rPr>
        <sz val="10"/>
        <rFont val="Noto Sans CJK SC"/>
        <family val="2"/>
      </rPr>
      <t xml:space="preserve">분포 백분위</t>
    </r>
  </si>
  <si>
    <t xml:space="preserve">체중 기록 시</t>
  </si>
  <si>
    <r>
      <rPr>
        <sz val="10"/>
        <rFont val="Noto Sans CJK SC"/>
        <family val="2"/>
      </rPr>
      <t xml:space="preserve">구간이 좁아 변화가 크게 보임 → 화면에서 </t>
    </r>
    <r>
      <rPr>
        <sz val="10"/>
        <rFont val="Arial"/>
        <family val="0"/>
        <charset val="1"/>
      </rPr>
      <t xml:space="preserve">±</t>
    </r>
    <r>
      <rPr>
        <sz val="10"/>
        <rFont val="Noto Sans CJK SC"/>
        <family val="2"/>
      </rPr>
      <t xml:space="preserve">상한 </t>
    </r>
    <r>
      <rPr>
        <sz val="10"/>
        <rFont val="Arial"/>
        <family val="0"/>
        <charset val="1"/>
      </rPr>
      <t xml:space="preserve">200%</t>
    </r>
    <r>
      <rPr>
        <sz val="10"/>
        <rFont val="Noto Sans CJK SC"/>
        <family val="2"/>
      </rPr>
      <t xml:space="preserve">로 클리핑</t>
    </r>
  </si>
  <si>
    <r>
      <rPr>
        <sz val="10"/>
        <rFont val="Noto Sans CJK SC"/>
        <family val="2"/>
      </rPr>
      <t xml:space="preserve">남 </t>
    </r>
    <r>
      <rPr>
        <sz val="10"/>
        <rFont val="Arial"/>
        <family val="0"/>
        <charset val="1"/>
      </rPr>
      <t xml:space="preserve">85 / </t>
    </r>
    <r>
      <rPr>
        <sz val="10"/>
        <rFont val="Noto Sans CJK SC"/>
        <family val="2"/>
      </rPr>
      <t xml:space="preserve">여 </t>
    </r>
    <r>
      <rPr>
        <sz val="10"/>
        <rFont val="Arial"/>
        <family val="0"/>
        <charset val="1"/>
      </rPr>
      <t xml:space="preserve">80</t>
    </r>
  </si>
  <si>
    <r>
      <rPr>
        <sz val="10"/>
        <rFont val="Noto Sans CJK SC"/>
        <family val="2"/>
      </rPr>
      <t xml:space="preserve">남 </t>
    </r>
    <r>
      <rPr>
        <sz val="10"/>
        <rFont val="Arial"/>
        <family val="0"/>
        <charset val="1"/>
      </rPr>
      <t xml:space="preserve">90 / </t>
    </r>
    <r>
      <rPr>
        <sz val="10"/>
        <rFont val="Noto Sans CJK SC"/>
        <family val="2"/>
      </rPr>
      <t xml:space="preserve">여 </t>
    </r>
    <r>
      <rPr>
        <sz val="10"/>
        <rFont val="Arial"/>
        <family val="0"/>
        <charset val="1"/>
      </rPr>
      <t xml:space="preserve">85</t>
    </r>
  </si>
  <si>
    <r>
      <rPr>
        <sz val="10"/>
        <rFont val="Arial"/>
        <family val="0"/>
        <charset val="1"/>
      </rPr>
      <t xml:space="preserve">(x−0%</t>
    </r>
    <r>
      <rPr>
        <sz val="10"/>
        <rFont val="Noto Sans CJK SC"/>
        <family val="2"/>
      </rPr>
      <t xml:space="preserve">기준</t>
    </r>
    <r>
      <rPr>
        <sz val="10"/>
        <rFont val="Arial"/>
        <family val="0"/>
        <charset val="1"/>
      </rPr>
      <t xml:space="preserve">)/5×100</t>
    </r>
  </si>
  <si>
    <r>
      <rPr>
        <sz val="10"/>
        <rFont val="Noto Sans CJK SC"/>
        <family val="2"/>
      </rPr>
      <t xml:space="preserve">남 </t>
    </r>
    <r>
      <rPr>
        <sz val="10"/>
        <rFont val="Arial"/>
        <family val="0"/>
        <charset val="1"/>
      </rPr>
      <t xml:space="preserve">87.5 → 50%</t>
    </r>
  </si>
  <si>
    <t xml:space="preserve">허리둘레 기록 시</t>
  </si>
  <si>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기준 충족 수</t>
    </r>
  </si>
  <si>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개</t>
    </r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</si>
  <si>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개</t>
    </r>
  </si>
  <si>
    <r>
      <rPr>
        <sz val="10"/>
        <rFont val="Noto Sans CJK SC"/>
        <family val="2"/>
      </rPr>
      <t xml:space="preserve">충족 수</t>
    </r>
    <r>
      <rPr>
        <sz val="10"/>
        <rFont val="Arial"/>
        <family val="0"/>
        <charset val="1"/>
      </rPr>
      <t xml:space="preserve">/3×100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</si>
  <si>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개 → </t>
    </r>
    <r>
      <rPr>
        <sz val="10"/>
        <rFont val="Arial"/>
        <family val="0"/>
        <charset val="1"/>
      </rPr>
      <t xml:space="preserve">33% / 4</t>
    </r>
    <r>
      <rPr>
        <sz val="10"/>
        <rFont val="Noto Sans CJK SC"/>
        <family val="2"/>
      </rPr>
      <t xml:space="preserve">개 → </t>
    </r>
    <r>
      <rPr>
        <sz val="10"/>
        <rFont val="Arial"/>
        <family val="0"/>
        <charset val="1"/>
      </rPr>
      <t xml:space="preserve">133%</t>
    </r>
  </si>
  <si>
    <r>
      <rPr>
        <sz val="10"/>
        <rFont val="Noto Sans CJK SC"/>
        <family val="2"/>
      </rPr>
      <t xml:space="preserve">충족 수 기반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각 기준 근접도 평균</t>
    </r>
  </si>
  <si>
    <t xml:space="preserve">어느 지표든 갱신 시</t>
  </si>
  <si>
    <t xml:space="preserve">규칙 판정과 동일</t>
  </si>
  <si>
    <r>
      <rPr>
        <sz val="10"/>
        <rFont val="Noto Sans CJK SC"/>
        <family val="2"/>
      </rPr>
      <t xml:space="preserve">음성</t>
    </r>
    <r>
      <rPr>
        <sz val="10"/>
        <rFont val="Arial"/>
        <family val="0"/>
        <charset val="1"/>
      </rPr>
      <t xml:space="preserve">(0)</t>
    </r>
  </si>
  <si>
    <t xml:space="preserve">1+(2)</t>
  </si>
  <si>
    <r>
      <rPr>
        <sz val="10"/>
        <rFont val="Noto Sans CJK SC"/>
        <family val="2"/>
      </rPr>
      <t xml:space="preserve">등급</t>
    </r>
    <r>
      <rPr>
        <sz val="10"/>
        <rFont val="Arial"/>
        <family val="0"/>
        <charset val="1"/>
      </rPr>
      <t xml:space="preserve">/2×100</t>
    </r>
  </si>
  <si>
    <t xml:space="preserve">± → 50%</t>
  </si>
  <si>
    <r>
      <rPr>
        <sz val="10"/>
        <rFont val="Arial"/>
        <family val="0"/>
        <charset val="1"/>
      </rPr>
      <t xml:space="preserve">max(</t>
    </r>
    <r>
      <rPr>
        <sz val="10"/>
        <rFont val="Noto Sans CJK SC"/>
        <family val="2"/>
      </rPr>
      <t xml:space="preserve">요단백</t>
    </r>
    <r>
      <rPr>
        <sz val="10"/>
        <rFont val="Arial"/>
        <family val="0"/>
        <charset val="1"/>
      </rPr>
      <t xml:space="preserve">, eGFR, ACR)</t>
    </r>
  </si>
  <si>
    <r>
      <rPr>
        <sz val="10"/>
        <rFont val="Noto Sans CJK SC"/>
        <family val="2"/>
      </rPr>
      <t xml:space="preserve">스틱 기록 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주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회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</si>
  <si>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반정량이라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단계만</t>
    </r>
  </si>
  <si>
    <t xml:space="preserve">60</t>
  </si>
  <si>
    <r>
      <rPr>
        <sz val="10"/>
        <rFont val="Arial"/>
        <family val="0"/>
        <charset val="1"/>
      </rPr>
      <t xml:space="preserve">(90−x)/30×100 (</t>
    </r>
    <r>
      <rPr>
        <sz val="10"/>
        <rFont val="Noto Sans CJK SC"/>
        <family val="2"/>
      </rPr>
      <t xml:space="preserve">방향 반대</t>
    </r>
    <r>
      <rPr>
        <sz val="10"/>
        <rFont val="Arial"/>
        <family val="0"/>
        <charset val="1"/>
      </rPr>
      <t xml:space="preserve">)</t>
    </r>
  </si>
  <si>
    <t xml:space="preserve">75 → 50%</t>
  </si>
  <si>
    <r>
      <rPr>
        <sz val="10"/>
        <rFont val="Arial"/>
        <family val="0"/>
        <charset val="1"/>
      </rPr>
      <t xml:space="preserve">D1 CKD</t>
    </r>
    <r>
      <rPr>
        <sz val="10"/>
        <rFont val="Noto Sans CJK SC"/>
        <family val="2"/>
      </rPr>
      <t xml:space="preserve">군 </t>
    </r>
    <r>
      <rPr>
        <sz val="10"/>
        <rFont val="Arial"/>
        <family val="0"/>
        <charset val="1"/>
      </rPr>
      <t xml:space="preserve">eGFR </t>
    </r>
    <r>
      <rPr>
        <sz val="10"/>
        <rFont val="Noto Sans CJK SC"/>
        <family val="2"/>
      </rPr>
      <t xml:space="preserve">백분위</t>
    </r>
  </si>
  <si>
    <t xml:space="preserve">0 (10)</t>
  </si>
  <si>
    <t xml:space="preserve">30</t>
  </si>
  <si>
    <t xml:space="preserve">(x−10)/20×100</t>
  </si>
  <si>
    <t xml:space="preserve">20 → 50%</t>
  </si>
  <si>
    <t xml:space="preserve">36</t>
  </si>
  <si>
    <t xml:space="preserve">(x−30)/6×100</t>
  </si>
  <si>
    <t xml:space="preserve">33 → 50%</t>
  </si>
  <si>
    <t xml:space="preserve">max(HSI, FLI)</t>
  </si>
  <si>
    <t xml:space="preserve">지수 자체가 대리 라벨</t>
  </si>
  <si>
    <t xml:space="preserve">(x−30)/30×100</t>
  </si>
  <si>
    <t xml:space="preserve">45 → 50%</t>
  </si>
  <si>
    <t xml:space="preserve">130</t>
  </si>
  <si>
    <t xml:space="preserve">160</t>
  </si>
  <si>
    <t xml:space="preserve">(x−130)/30×100</t>
  </si>
  <si>
    <t xml:space="preserve">145 → 50%</t>
  </si>
  <si>
    <r>
      <rPr>
        <sz val="10"/>
        <rFont val="Arial"/>
        <family val="0"/>
        <charset val="1"/>
      </rPr>
      <t xml:space="preserve">max(LDL, </t>
    </r>
    <r>
      <rPr>
        <sz val="10"/>
        <rFont val="Noto Sans CJK SC"/>
        <family val="2"/>
      </rPr>
      <t xml:space="preserve">총콜</t>
    </r>
    <r>
      <rPr>
        <sz val="10"/>
        <rFont val="Arial"/>
        <family val="0"/>
        <charset val="1"/>
      </rPr>
      <t xml:space="preserve">, TG, HDL)</t>
    </r>
  </si>
  <si>
    <r>
      <rPr>
        <sz val="10"/>
        <rFont val="Arial"/>
        <family val="0"/>
        <charset val="1"/>
      </rPr>
      <t xml:space="preserve">D1 </t>
    </r>
    <r>
      <rPr>
        <sz val="10"/>
        <rFont val="Noto Sans CJK SC"/>
        <family val="2"/>
      </rPr>
      <t xml:space="preserve">진단군 백분위</t>
    </r>
  </si>
  <si>
    <t xml:space="preserve">240</t>
  </si>
  <si>
    <t xml:space="preserve">(x−200)/40×100</t>
  </si>
  <si>
    <t xml:space="preserve">150</t>
  </si>
  <si>
    <t xml:space="preserve">(x−150)/50×100</t>
  </si>
  <si>
    <t xml:space="preserve">40</t>
  </si>
  <si>
    <r>
      <rPr>
        <sz val="10"/>
        <rFont val="Arial"/>
        <family val="0"/>
        <charset val="1"/>
      </rPr>
      <t xml:space="preserve">(60−x)/20×100 (</t>
    </r>
    <r>
      <rPr>
        <sz val="10"/>
        <rFont val="Noto Sans CJK SC"/>
        <family val="2"/>
      </rPr>
      <t xml:space="preserve">방향 반대</t>
    </r>
    <r>
      <rPr>
        <sz val="10"/>
        <rFont val="Arial"/>
        <family val="0"/>
        <charset val="1"/>
      </rPr>
      <t xml:space="preserve">)</t>
    </r>
  </si>
  <si>
    <t xml:space="preserve">50 → 50%</t>
  </si>
  <si>
    <t xml:space="preserve">설계 원칙</t>
  </si>
  <si>
    <r>
      <rPr>
        <sz val="10"/>
        <rFont val="Noto Sans CJK SC"/>
        <family val="2"/>
      </rPr>
      <t xml:space="preserve">① 근접도는 측정값과 학회 기준만으로 계산하는 결정적 규칙 — 같은 입력이면 항상 같은 출력</t>
    </r>
    <r>
      <rPr>
        <sz val="10"/>
        <rFont val="Arial"/>
        <family val="0"/>
        <charset val="1"/>
      </rPr>
      <t xml:space="preserve">(AI </t>
    </r>
    <r>
      <rPr>
        <sz val="10"/>
        <rFont val="Noto Sans CJK SC"/>
        <family val="2"/>
      </rPr>
      <t xml:space="preserve">평가 </t>
    </r>
    <r>
      <rPr>
        <sz val="10"/>
        <rFont val="Arial"/>
        <family val="0"/>
        <charset val="1"/>
      </rPr>
      <t xml:space="preserve">3-3). ② 100%</t>
    </r>
    <r>
      <rPr>
        <sz val="10"/>
        <rFont val="Noto Sans CJK SC"/>
        <family val="2"/>
      </rPr>
      <t xml:space="preserve">를 넘으면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진단 기준을 </t>
    </r>
    <r>
      <rPr>
        <sz val="10"/>
        <rFont val="Arial"/>
        <family val="0"/>
        <charset val="1"/>
      </rPr>
      <t xml:space="preserve">n% </t>
    </r>
    <r>
      <rPr>
        <sz val="10"/>
        <rFont val="Noto Sans CJK SC"/>
        <family val="2"/>
      </rPr>
      <t xml:space="preserve">넘어섬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으로 표시하고 검진 권고</t>
    </r>
    <r>
      <rPr>
        <sz val="10"/>
        <rFont val="Arial"/>
        <family val="0"/>
        <charset val="1"/>
      </rPr>
      <t xml:space="preserve">. ③ </t>
    </r>
    <r>
      <rPr>
        <sz val="10"/>
        <rFont val="Noto Sans CJK SC"/>
        <family val="2"/>
      </rPr>
      <t xml:space="preserve">화면 표시는 −</t>
    </r>
    <r>
      <rPr>
        <sz val="10"/>
        <rFont val="Arial"/>
        <family val="0"/>
        <charset val="1"/>
      </rPr>
      <t xml:space="preserve">50%~200%</t>
    </r>
    <r>
      <rPr>
        <sz val="10"/>
        <rFont val="Noto Sans CJK SC"/>
        <family val="2"/>
      </rPr>
      <t xml:space="preserve">로 클리핑</t>
    </r>
    <r>
      <rPr>
        <sz val="10"/>
        <rFont val="Arial"/>
        <family val="0"/>
        <charset val="1"/>
      </rPr>
      <t xml:space="preserve">. ④ </t>
    </r>
    <r>
      <rPr>
        <sz val="10"/>
        <rFont val="Noto Sans CJK SC"/>
        <family val="2"/>
      </rPr>
      <t xml:space="preserve">근접도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지금 어디 있나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측정값 기반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와 </t>
    </r>
    <r>
      <rPr>
        <sz val="10"/>
        <rFont val="Arial"/>
        <family val="0"/>
        <charset val="1"/>
      </rPr>
      <t xml:space="preserve">ML </t>
    </r>
    <r>
      <rPr>
        <sz val="10"/>
        <rFont val="Noto Sans CJK SC"/>
        <family val="2"/>
      </rPr>
      <t xml:space="preserve">위험도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어디로 가고 있나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생활습관 기반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를 홈 카드에 나란히 둔다</t>
    </r>
    <r>
      <rPr>
        <sz val="10"/>
        <rFont val="Arial"/>
        <family val="0"/>
        <charset val="1"/>
      </rPr>
      <t xml:space="preserve">. ⑤ </t>
    </r>
    <r>
      <rPr>
        <sz val="10"/>
        <rFont val="Noto Sans CJK SC"/>
        <family val="2"/>
      </rPr>
      <t xml:space="preserve">환자군 백분위는 </t>
    </r>
    <r>
      <rPr>
        <sz val="10"/>
        <rFont val="Arial"/>
        <family val="0"/>
        <charset val="1"/>
      </rPr>
      <t xml:space="preserve">D1 </t>
    </r>
    <r>
      <rPr>
        <sz val="10"/>
        <rFont val="Noto Sans CJK SC"/>
        <family val="2"/>
      </rPr>
      <t xml:space="preserve">진단군 분포에서 계산해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고혈압 환자 </t>
    </r>
    <r>
      <rPr>
        <sz val="10"/>
        <rFont val="Arial"/>
        <family val="0"/>
        <charset val="1"/>
      </rPr>
      <t xml:space="preserve">100</t>
    </r>
    <r>
      <rPr>
        <sz val="10"/>
        <rFont val="Noto Sans CJK SC"/>
        <family val="2"/>
      </rPr>
      <t xml:space="preserve">명 중 </t>
    </r>
    <r>
      <rPr>
        <sz val="10"/>
        <rFont val="Arial"/>
        <family val="0"/>
        <charset val="1"/>
      </rPr>
      <t xml:space="preserve">n</t>
    </r>
    <r>
      <rPr>
        <sz val="10"/>
        <rFont val="Noto Sans CJK SC"/>
        <family val="2"/>
      </rPr>
      <t xml:space="preserve">번째 위치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같은 보조 문구로만 사용</t>
    </r>
    <r>
      <rPr>
        <sz val="10"/>
        <rFont val="Arial"/>
        <family val="0"/>
        <charset val="1"/>
      </rPr>
      <t xml:space="preserve">.</t>
    </r>
  </si>
  <si>
    <t xml:space="preserve">내용</t>
  </si>
  <si>
    <r>
      <rPr>
        <sz val="10"/>
        <rFont val="Noto Sans CJK SC"/>
        <family val="2"/>
      </rPr>
      <t xml:space="preserve">재료 </t>
    </r>
    <r>
      <rPr>
        <sz val="10"/>
        <rFont val="Arial"/>
        <family val="0"/>
        <charset val="1"/>
      </rPr>
      <t xml:space="preserve">1: </t>
    </r>
    <r>
      <rPr>
        <sz val="10"/>
        <rFont val="Noto Sans CJK SC"/>
        <family val="2"/>
      </rPr>
      <t xml:space="preserve">근접도 </t>
    </r>
    <r>
      <rPr>
        <sz val="10"/>
        <rFont val="Arial"/>
        <family val="0"/>
        <charset val="1"/>
      </rPr>
      <t xml:space="preserve">P</t>
    </r>
  </si>
  <si>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번 시트 규칙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해당 질환 지표 중 최댓값</t>
    </r>
    <r>
      <rPr>
        <sz val="10"/>
        <rFont val="Arial"/>
        <family val="0"/>
        <charset val="1"/>
      </rPr>
      <t xml:space="preserve">, −50~200 </t>
    </r>
    <r>
      <rPr>
        <sz val="10"/>
        <rFont val="Noto Sans CJK SC"/>
        <family val="2"/>
      </rPr>
      <t xml:space="preserve">클리핑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측정값이 최근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일 이내일 때만 유효</t>
    </r>
  </si>
  <si>
    <t xml:space="preserve">SBP 132 → P=60</t>
  </si>
  <si>
    <t xml:space="preserve">결정적 규칙</t>
  </si>
  <si>
    <r>
      <rPr>
        <sz val="10"/>
        <rFont val="Noto Sans CJK SC"/>
        <family val="2"/>
      </rPr>
      <t xml:space="preserve">재료 </t>
    </r>
    <r>
      <rPr>
        <sz val="10"/>
        <rFont val="Arial"/>
        <family val="0"/>
        <charset val="1"/>
      </rPr>
      <t xml:space="preserve">2: </t>
    </r>
    <r>
      <rPr>
        <sz val="10"/>
        <rFont val="Noto Sans CJK SC"/>
        <family val="2"/>
      </rPr>
      <t xml:space="preserve">위험도 </t>
    </r>
    <r>
      <rPr>
        <sz val="10"/>
        <rFont val="Arial"/>
        <family val="0"/>
        <charset val="1"/>
      </rPr>
      <t xml:space="preserve">R</t>
    </r>
  </si>
  <si>
    <r>
      <rPr>
        <sz val="10"/>
        <rFont val="Arial"/>
        <family val="0"/>
        <charset val="1"/>
      </rPr>
      <t xml:space="preserve">ML </t>
    </r>
    <r>
      <rPr>
        <sz val="10"/>
        <rFont val="Noto Sans CJK SC"/>
        <family val="2"/>
      </rPr>
      <t xml:space="preserve">모델 확률 </t>
    </r>
    <r>
      <rPr>
        <sz val="10"/>
        <rFont val="Arial"/>
        <family val="0"/>
        <charset val="1"/>
      </rPr>
      <t xml:space="preserve">× 100 (0~100). </t>
    </r>
    <r>
      <rPr>
        <sz val="10"/>
        <rFont val="Noto Sans CJK SC"/>
        <family val="2"/>
      </rPr>
      <t xml:space="preserve">생활습관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체형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가족력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타 질환 진단 여부 피처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매일 자정 재계산</t>
    </r>
  </si>
  <si>
    <t xml:space="preserve">R=38</t>
  </si>
  <si>
    <t xml:space="preserve">측정값은 피처 아님</t>
  </si>
  <si>
    <r>
      <rPr>
        <sz val="10"/>
        <rFont val="Noto Sans CJK SC"/>
        <family val="2"/>
      </rPr>
      <t xml:space="preserve">갈래 </t>
    </r>
    <r>
      <rPr>
        <sz val="10"/>
        <rFont val="Arial"/>
        <family val="0"/>
        <charset val="1"/>
      </rPr>
      <t xml:space="preserve">A: </t>
    </r>
    <r>
      <rPr>
        <sz val="10"/>
        <rFont val="Noto Sans CJK SC"/>
        <family val="2"/>
      </rPr>
      <t xml:space="preserve">측정값 있음</t>
    </r>
    <r>
      <rPr>
        <sz val="10"/>
        <rFont val="Arial"/>
        <family val="0"/>
        <charset val="1"/>
      </rPr>
      <t xml:space="preserve">, P &lt; 100</t>
    </r>
  </si>
  <si>
    <r>
      <rPr>
        <sz val="10"/>
        <rFont val="Arial"/>
        <family val="0"/>
        <charset val="1"/>
      </rPr>
      <t xml:space="preserve">S = w_P × P + w_R × R (</t>
    </r>
    <r>
      <rPr>
        <sz val="10"/>
        <rFont val="Noto Sans CJK SC"/>
        <family val="2"/>
      </rPr>
      <t xml:space="preserve">기본 </t>
    </r>
    <r>
      <rPr>
        <sz val="10"/>
        <rFont val="Arial"/>
        <family val="0"/>
        <charset val="1"/>
      </rPr>
      <t xml:space="preserve">w_P=0.7, w_R=0.3, </t>
    </r>
    <r>
      <rPr>
        <sz val="10"/>
        <rFont val="Noto Sans CJK SC"/>
        <family val="2"/>
      </rPr>
      <t xml:space="preserve">환경변수 </t>
    </r>
    <r>
      <rPr>
        <sz val="10"/>
        <rFont val="Arial"/>
        <family val="0"/>
        <charset val="1"/>
      </rPr>
      <t xml:space="preserve">SCORE_W_PROXIMITY / SCORE_W_RISK)</t>
    </r>
  </si>
  <si>
    <r>
      <rPr>
        <sz val="10"/>
        <rFont val="Arial"/>
        <family val="0"/>
        <charset val="1"/>
      </rPr>
      <t xml:space="preserve">0.7×60 + 0.3×38 = 53.4 → 53</t>
    </r>
    <r>
      <rPr>
        <sz val="10"/>
        <rFont val="Noto Sans CJK SC"/>
        <family val="2"/>
      </rPr>
      <t xml:space="preserve">점</t>
    </r>
  </si>
  <si>
    <r>
      <rPr>
        <sz val="10"/>
        <rFont val="Noto Sans CJK SC"/>
        <family val="2"/>
      </rPr>
      <t xml:space="preserve">가중치는 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멘토 확정</t>
    </r>
    <r>
      <rPr>
        <sz val="10"/>
        <rFont val="Arial"/>
        <family val="0"/>
        <charset val="1"/>
      </rPr>
      <t xml:space="preserve">, experiments.md </t>
    </r>
    <r>
      <rPr>
        <sz val="10"/>
        <rFont val="Noto Sans CJK SC"/>
        <family val="2"/>
      </rPr>
      <t xml:space="preserve">기록</t>
    </r>
  </si>
  <si>
    <r>
      <rPr>
        <sz val="10"/>
        <rFont val="Noto Sans CJK SC"/>
        <family val="2"/>
      </rPr>
      <t xml:space="preserve">갈래 </t>
    </r>
    <r>
      <rPr>
        <sz val="10"/>
        <rFont val="Arial"/>
        <family val="0"/>
        <charset val="1"/>
      </rPr>
      <t xml:space="preserve">B: </t>
    </r>
    <r>
      <rPr>
        <sz val="10"/>
        <rFont val="Noto Sans CJK SC"/>
        <family val="2"/>
      </rPr>
      <t xml:space="preserve">측정값 있음</t>
    </r>
    <r>
      <rPr>
        <sz val="10"/>
        <rFont val="Arial"/>
        <family val="0"/>
        <charset val="1"/>
      </rPr>
      <t xml:space="preserve">, P ≥ 100</t>
    </r>
  </si>
  <si>
    <r>
      <rPr>
        <sz val="10"/>
        <rFont val="Arial"/>
        <family val="0"/>
        <charset val="1"/>
      </rPr>
      <t xml:space="preserve">S = P (</t>
    </r>
    <r>
      <rPr>
        <sz val="10"/>
        <rFont val="Noto Sans CJK SC"/>
        <family val="2"/>
      </rPr>
      <t xml:space="preserve">위험도로 깎지 않음</t>
    </r>
    <r>
      <rPr>
        <sz val="10"/>
        <rFont val="Arial"/>
        <family val="0"/>
        <charset val="1"/>
      </rPr>
      <t xml:space="preserve">) + </t>
    </r>
    <r>
      <rPr>
        <sz val="10"/>
        <rFont val="Noto Sans CJK SC"/>
        <family val="2"/>
      </rPr>
      <t xml:space="preserve">검진 권고 플래그</t>
    </r>
  </si>
  <si>
    <r>
      <rPr>
        <sz val="10"/>
        <rFont val="Arial"/>
        <family val="0"/>
        <charset val="1"/>
      </rPr>
      <t xml:space="preserve">SBP 150 → P=150 → 150</t>
    </r>
    <r>
      <rPr>
        <sz val="10"/>
        <rFont val="Noto Sans CJK SC"/>
        <family val="2"/>
      </rPr>
      <t xml:space="preserve">점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진단 기준을 </t>
    </r>
    <r>
      <rPr>
        <sz val="10"/>
        <rFont val="Arial"/>
        <family val="0"/>
        <charset val="1"/>
      </rPr>
      <t xml:space="preserve">50% </t>
    </r>
    <r>
      <rPr>
        <sz val="10"/>
        <rFont val="Noto Sans CJK SC"/>
        <family val="2"/>
      </rPr>
      <t xml:space="preserve">넘음</t>
    </r>
    <r>
      <rPr>
        <sz val="10"/>
        <rFont val="Arial"/>
        <family val="0"/>
        <charset val="1"/>
      </rPr>
      <t xml:space="preserve">'</t>
    </r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</si>
  <si>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회 연속이면 검진 권고 카드</t>
    </r>
  </si>
  <si>
    <r>
      <rPr>
        <sz val="10"/>
        <rFont val="Noto Sans CJK SC"/>
        <family val="2"/>
      </rPr>
      <t xml:space="preserve">갈래 </t>
    </r>
    <r>
      <rPr>
        <sz val="10"/>
        <rFont val="Arial"/>
        <family val="0"/>
        <charset val="1"/>
      </rPr>
      <t xml:space="preserve">C: </t>
    </r>
    <r>
      <rPr>
        <sz val="10"/>
        <rFont val="Noto Sans CJK SC"/>
        <family val="2"/>
      </rPr>
      <t xml:space="preserve">측정값 없음 </t>
    </r>
    <r>
      <rPr>
        <sz val="10"/>
        <rFont val="Arial"/>
        <family val="0"/>
        <charset val="1"/>
      </rPr>
      <t xml:space="preserve">/ 14</t>
    </r>
    <r>
      <rPr>
        <sz val="10"/>
        <rFont val="Noto Sans CJK SC"/>
        <family val="2"/>
      </rPr>
      <t xml:space="preserve">일 초과</t>
    </r>
  </si>
  <si>
    <r>
      <rPr>
        <sz val="10"/>
        <rFont val="Arial"/>
        <family val="0"/>
        <charset val="1"/>
      </rPr>
      <t xml:space="preserve">S = R, score_basis='estimated', </t>
    </r>
    <r>
      <rPr>
        <sz val="10"/>
        <rFont val="Noto Sans CJK SC"/>
        <family val="2"/>
      </rPr>
      <t xml:space="preserve">카드에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추정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표시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기록 유도</t>
    </r>
  </si>
  <si>
    <r>
      <rPr>
        <sz val="10"/>
        <rFont val="Arial"/>
        <family val="0"/>
        <charset val="1"/>
      </rPr>
      <t xml:space="preserve">R=38 → 38</t>
    </r>
    <r>
      <rPr>
        <sz val="10"/>
        <rFont val="Noto Sans CJK SC"/>
        <family val="2"/>
      </rPr>
      <t xml:space="preserve">점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추정</t>
    </r>
    <r>
      <rPr>
        <sz val="10"/>
        <rFont val="Arial"/>
        <family val="0"/>
        <charset val="1"/>
      </rPr>
      <t xml:space="preserve">)</t>
    </r>
  </si>
  <si>
    <t xml:space="preserve">기기 없는 사용자도 점수 있음</t>
  </si>
  <si>
    <t xml:space="preserve">관리 모드</t>
  </si>
  <si>
    <r>
      <rPr>
        <sz val="10"/>
        <rFont val="Arial"/>
        <family val="0"/>
        <charset val="1"/>
      </rPr>
      <t xml:space="preserve">P</t>
    </r>
    <r>
      <rPr>
        <sz val="10"/>
        <rFont val="Noto Sans CJK SC"/>
        <family val="2"/>
      </rPr>
      <t xml:space="preserve">의 </t>
    </r>
    <r>
      <rPr>
        <sz val="10"/>
        <rFont val="Arial"/>
        <family val="0"/>
        <charset val="1"/>
      </rPr>
      <t xml:space="preserve">100% </t>
    </r>
    <r>
      <rPr>
        <sz val="10"/>
        <rFont val="Noto Sans CJK SC"/>
        <family val="2"/>
      </rPr>
      <t xml:space="preserve">기준을 진단 기준 대신 목표치</t>
    </r>
    <r>
      <rPr>
        <sz val="10"/>
        <rFont val="Arial"/>
        <family val="0"/>
        <charset val="1"/>
      </rPr>
      <t xml:space="preserve">(D11 target </t>
    </r>
    <r>
      <rPr>
        <sz val="10"/>
        <rFont val="Noto Sans CJK SC"/>
        <family val="2"/>
      </rPr>
      <t xml:space="preserve">또는 기본 </t>
    </r>
    <r>
      <rPr>
        <sz val="10"/>
        <rFont val="Arial"/>
        <family val="0"/>
        <charset val="1"/>
      </rPr>
      <t xml:space="preserve">130/80, HbA1c 6.5 </t>
    </r>
    <r>
      <rPr>
        <sz val="10"/>
        <rFont val="Noto Sans CJK SC"/>
        <family val="2"/>
      </rPr>
      <t xml:space="preserve">등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로 치환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문구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목표까지 </t>
    </r>
    <r>
      <rPr>
        <sz val="10"/>
        <rFont val="Arial"/>
        <family val="0"/>
        <charset val="1"/>
      </rPr>
      <t xml:space="preserve">n</t>
    </r>
    <r>
      <rPr>
        <sz val="10"/>
        <rFont val="Noto Sans CJK SC"/>
        <family val="2"/>
      </rPr>
      <t xml:space="preserve">점</t>
    </r>
    <r>
      <rPr>
        <sz val="10"/>
        <rFont val="Arial"/>
        <family val="0"/>
        <charset val="1"/>
      </rPr>
      <t xml:space="preserve">'</t>
    </r>
  </si>
  <si>
    <r>
      <rPr>
        <sz val="10"/>
        <rFont val="Noto Sans CJK SC"/>
        <family val="2"/>
      </rPr>
      <t xml:space="preserve">약 복용 고혈압</t>
    </r>
    <r>
      <rPr>
        <sz val="10"/>
        <rFont val="Arial"/>
        <family val="0"/>
        <charset val="1"/>
      </rPr>
      <t xml:space="preserve">, SBP 128, </t>
    </r>
    <r>
      <rPr>
        <sz val="10"/>
        <rFont val="Noto Sans CJK SC"/>
        <family val="2"/>
      </rPr>
      <t xml:space="preserve">목표 </t>
    </r>
    <r>
      <rPr>
        <sz val="10"/>
        <rFont val="Arial"/>
        <family val="0"/>
        <charset val="1"/>
      </rPr>
      <t xml:space="preserve">130 → P=80</t>
    </r>
  </si>
  <si>
    <t xml:space="preserve">여러 질환</t>
  </si>
  <si>
    <r>
      <rPr>
        <sz val="10"/>
        <rFont val="Noto Sans CJK SC"/>
        <family val="2"/>
      </rPr>
      <t xml:space="preserve">질환별 </t>
    </r>
    <r>
      <rPr>
        <sz val="10"/>
        <rFont val="Arial"/>
        <family val="0"/>
        <charset val="1"/>
      </rPr>
      <t xml:space="preserve">S</t>
    </r>
    <r>
      <rPr>
        <sz val="10"/>
        <rFont val="Noto Sans CJK SC"/>
        <family val="2"/>
      </rPr>
      <t xml:space="preserve">를 각각 계산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저장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홈 상단은 </t>
    </r>
    <r>
      <rPr>
        <sz val="10"/>
        <rFont val="Arial"/>
        <family val="0"/>
        <charset val="1"/>
      </rPr>
      <t xml:space="preserve">max(S) </t>
    </r>
    <r>
      <rPr>
        <sz val="10"/>
        <rFont val="Noto Sans CJK SC"/>
        <family val="2"/>
      </rPr>
      <t xml:space="preserve">질환을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가장 신경 쓸 것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으로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평균 사용 금지</t>
    </r>
  </si>
  <si>
    <r>
      <rPr>
        <sz val="10"/>
        <rFont val="Noto Sans CJK SC"/>
        <family val="2"/>
      </rPr>
      <t xml:space="preserve">고혈압 </t>
    </r>
    <r>
      <rPr>
        <sz val="10"/>
        <rFont val="Arial"/>
        <family val="0"/>
        <charset val="1"/>
      </rPr>
      <t xml:space="preserve">72 · </t>
    </r>
    <r>
      <rPr>
        <sz val="10"/>
        <rFont val="Noto Sans CJK SC"/>
        <family val="2"/>
      </rPr>
      <t xml:space="preserve">당뇨 </t>
    </r>
    <r>
      <rPr>
        <sz val="10"/>
        <rFont val="Arial"/>
        <family val="0"/>
        <charset val="1"/>
      </rPr>
      <t xml:space="preserve">41 · </t>
    </r>
    <r>
      <rPr>
        <sz val="10"/>
        <rFont val="Noto Sans CJK SC"/>
        <family val="2"/>
      </rPr>
      <t xml:space="preserve">비만 </t>
    </r>
    <r>
      <rPr>
        <sz val="10"/>
        <rFont val="Arial"/>
        <family val="0"/>
        <charset val="1"/>
      </rPr>
      <t xml:space="preserve">55 → </t>
    </r>
    <r>
      <rPr>
        <sz val="10"/>
        <rFont val="Noto Sans CJK SC"/>
        <family val="2"/>
      </rPr>
      <t xml:space="preserve">고혈압 카드 상단</t>
    </r>
  </si>
  <si>
    <r>
      <rPr>
        <sz val="10"/>
        <rFont val="Noto Sans CJK SC"/>
        <family val="2"/>
      </rPr>
      <t xml:space="preserve">합산하지 않고 </t>
    </r>
    <r>
      <rPr>
        <sz val="10"/>
        <rFont val="Arial"/>
        <family val="0"/>
        <charset val="1"/>
      </rPr>
      <t xml:space="preserve">'5</t>
    </r>
    <r>
      <rPr>
        <sz val="10"/>
        <rFont val="Noto Sans CJK SC"/>
        <family val="2"/>
      </rPr>
      <t xml:space="preserve">기준 중 </t>
    </r>
    <r>
      <rPr>
        <sz val="10"/>
        <rFont val="Arial"/>
        <family val="0"/>
        <charset val="1"/>
      </rPr>
      <t xml:space="preserve">n</t>
    </r>
    <r>
      <rPr>
        <sz val="10"/>
        <rFont val="Noto Sans CJK SC"/>
        <family val="2"/>
      </rPr>
      <t xml:space="preserve">개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별도 카드</t>
    </r>
  </si>
  <si>
    <t xml:space="preserve">3/5</t>
  </si>
  <si>
    <t xml:space="preserve">표시</t>
  </si>
  <si>
    <r>
      <rPr>
        <sz val="10"/>
        <rFont val="Noto Sans CJK SC"/>
        <family val="2"/>
      </rPr>
      <t xml:space="preserve">게이지 </t>
    </r>
    <r>
      <rPr>
        <sz val="10"/>
        <rFont val="Arial"/>
        <family val="0"/>
        <charset val="1"/>
      </rPr>
      <t xml:space="preserve">0~100+ </t>
    </r>
    <r>
      <rPr>
        <sz val="10"/>
        <rFont val="Noto Sans CJK SC"/>
        <family val="2"/>
      </rPr>
      <t xml:space="preserve">하나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전일 대비 </t>
    </r>
    <r>
      <rPr>
        <sz val="10"/>
        <rFont val="Arial"/>
        <family val="0"/>
        <charset val="1"/>
      </rPr>
      <t xml:space="preserve">±. </t>
    </r>
    <r>
      <rPr>
        <sz val="10"/>
        <rFont val="Noto Sans CJK SC"/>
        <family val="2"/>
      </rPr>
      <t xml:space="preserve">탭하면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측정값 </t>
    </r>
    <r>
      <rPr>
        <sz val="10"/>
        <rFont val="Arial"/>
        <family val="0"/>
        <charset val="1"/>
      </rPr>
      <t xml:space="preserve">P · </t>
    </r>
    <r>
      <rPr>
        <sz val="10"/>
        <rFont val="Noto Sans CJK SC"/>
        <family val="2"/>
      </rPr>
      <t xml:space="preserve">생활습관 </t>
    </r>
    <r>
      <rPr>
        <sz val="10"/>
        <rFont val="Arial"/>
        <family val="0"/>
        <charset val="1"/>
      </rPr>
      <t xml:space="preserve">±(w_R×R </t>
    </r>
    <r>
      <rPr>
        <sz val="10"/>
        <rFont val="Noto Sans CJK SC"/>
        <family val="2"/>
      </rPr>
      <t xml:space="preserve">기여분</t>
    </r>
    <r>
      <rPr>
        <sz val="10"/>
        <rFont val="Arial"/>
        <family val="0"/>
        <charset val="1"/>
      </rPr>
      <t xml:space="preserve">)' </t>
    </r>
    <r>
      <rPr>
        <sz val="10"/>
        <rFont val="Noto Sans CJK SC"/>
        <family val="2"/>
      </rPr>
      <t xml:space="preserve">두 줄 분해</t>
    </r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</si>
  <si>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고혈압까지 </t>
    </r>
    <r>
      <rPr>
        <sz val="10"/>
        <rFont val="Arial"/>
        <family val="0"/>
        <charset val="1"/>
      </rPr>
      <t xml:space="preserve">53</t>
    </r>
    <r>
      <rPr>
        <sz val="10"/>
        <rFont val="Noto Sans CJK SC"/>
        <family val="2"/>
      </rPr>
      <t xml:space="preserve">점 — 측정값 </t>
    </r>
    <r>
      <rPr>
        <sz val="10"/>
        <rFont val="Arial"/>
        <family val="0"/>
        <charset val="1"/>
      </rPr>
      <t xml:space="preserve">60, </t>
    </r>
    <r>
      <rPr>
        <sz val="10"/>
        <rFont val="Noto Sans CJK SC"/>
        <family val="2"/>
      </rPr>
      <t xml:space="preserve">생활습관이 −</t>
    </r>
    <r>
      <rPr>
        <sz val="10"/>
        <rFont val="Arial"/>
        <family val="0"/>
        <charset val="1"/>
      </rPr>
      <t xml:space="preserve">7'</t>
    </r>
  </si>
  <si>
    <r>
      <rPr>
        <sz val="10"/>
        <rFont val="Noto Sans CJK SC"/>
        <family val="2"/>
      </rPr>
      <t xml:space="preserve">평가 </t>
    </r>
    <r>
      <rPr>
        <sz val="10"/>
        <rFont val="Arial"/>
        <family val="0"/>
        <charset val="1"/>
      </rPr>
      <t xml:space="preserve">3-1·3-3 </t>
    </r>
    <r>
      <rPr>
        <sz val="10"/>
        <rFont val="Noto Sans CJK SC"/>
        <family val="2"/>
      </rPr>
      <t xml:space="preserve">설명 근거</t>
    </r>
  </si>
  <si>
    <t xml:space="preserve">캐릭터 상태</t>
  </si>
  <si>
    <r>
      <rPr>
        <sz val="10"/>
        <rFont val="Noto Sans CJK SC"/>
        <family val="2"/>
      </rPr>
      <t xml:space="preserve">점수와 분리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당일 퀘스트 완료 수로만 결정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기획서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장</t>
    </r>
    <r>
      <rPr>
        <sz val="10"/>
        <rFont val="Arial"/>
        <family val="0"/>
        <charset val="1"/>
      </rPr>
      <t xml:space="preserve">)</t>
    </r>
  </si>
  <si>
    <t xml:space="preserve">매일 보상 체감 유지</t>
  </si>
  <si>
    <r>
      <rPr>
        <sz val="10"/>
        <rFont val="Noto Sans CJK SC"/>
        <family val="2"/>
      </rPr>
      <t xml:space="preserve">편차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재현성</t>
    </r>
  </si>
  <si>
    <r>
      <rPr>
        <sz val="10"/>
        <rFont val="Arial"/>
        <family val="0"/>
        <charset val="1"/>
      </rPr>
      <t xml:space="preserve">P·R·S </t>
    </r>
    <r>
      <rPr>
        <sz val="10"/>
        <rFont val="Noto Sans CJK SC"/>
        <family val="2"/>
      </rPr>
      <t xml:space="preserve">모두 동일 입력 → 동일 출력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단위 테스트 </t>
    </r>
    <r>
      <rPr>
        <sz val="10"/>
        <rFont val="Arial"/>
        <family val="0"/>
        <charset val="1"/>
      </rPr>
      <t xml:space="preserve">test_health_score_same_input_same_output</t>
    </r>
  </si>
  <si>
    <r>
      <rPr>
        <sz val="10"/>
        <rFont val="Noto Sans CJK SC"/>
        <family val="2"/>
      </rPr>
      <t xml:space="preserve">평가 </t>
    </r>
    <r>
      <rPr>
        <sz val="10"/>
        <rFont val="Arial"/>
        <family val="0"/>
        <charset val="1"/>
      </rPr>
      <t xml:space="preserve">3-3</t>
    </r>
  </si>
  <si>
    <t xml:space="preserve">저장</t>
  </si>
  <si>
    <t xml:space="preserve">predictions(user_id, disease, date, proximity_pct, risk_score, health_score, score_basis enum(measured, exceeded, estimated), model_version)</t>
  </si>
  <si>
    <r>
      <rPr>
        <sz val="10"/>
        <rFont val="Arial"/>
        <family val="0"/>
        <charset val="1"/>
      </rPr>
      <t xml:space="preserve">ERD </t>
    </r>
    <r>
      <rPr>
        <sz val="10"/>
        <rFont val="Noto Sans CJK SC"/>
        <family val="2"/>
      </rPr>
      <t xml:space="preserve">동기화</t>
    </r>
  </si>
  <si>
    <t xml:space="preserve">API</t>
  </si>
  <si>
    <t xml:space="preserve">GET /api/v1/dashboard/scores → items[{disease, health_score, proximity_pct, risk_score, score_basis, delta_1d, band}]</t>
  </si>
  <si>
    <r>
      <rPr>
        <sz val="10"/>
        <rFont val="Arial"/>
        <family val="0"/>
        <charset val="1"/>
      </rPr>
      <t xml:space="preserve">API </t>
    </r>
    <r>
      <rPr>
        <sz val="10"/>
        <rFont val="Noto Sans CJK SC"/>
        <family val="2"/>
      </rPr>
      <t xml:space="preserve">명세서 동기화</t>
    </r>
  </si>
  <si>
    <t xml:space="preserve">일일 변동 감각</t>
  </si>
  <si>
    <r>
      <rPr>
        <sz val="10"/>
        <rFont val="Arial"/>
        <family val="0"/>
        <charset val="1"/>
      </rPr>
      <t xml:space="preserve">w_R=0.3</t>
    </r>
    <r>
      <rPr>
        <sz val="10"/>
        <rFont val="Noto Sans CJK SC"/>
        <family val="2"/>
      </rPr>
      <t xml:space="preserve">이면 퀘스트 전부 완료로 </t>
    </r>
    <r>
      <rPr>
        <sz val="10"/>
        <rFont val="Arial"/>
        <family val="0"/>
        <charset val="1"/>
      </rPr>
      <t xml:space="preserve">R</t>
    </r>
    <r>
      <rPr>
        <sz val="10"/>
        <rFont val="Noto Sans CJK SC"/>
        <family val="2"/>
      </rPr>
      <t xml:space="preserve">이 </t>
    </r>
    <r>
      <rPr>
        <sz val="10"/>
        <rFont val="Arial"/>
        <family val="0"/>
        <charset val="1"/>
      </rPr>
      <t xml:space="preserve">10 </t>
    </r>
    <r>
      <rPr>
        <sz val="10"/>
        <rFont val="Noto Sans CJK SC"/>
        <family val="2"/>
      </rPr>
      <t xml:space="preserve">내려갈 때 </t>
    </r>
    <r>
      <rPr>
        <sz val="10"/>
        <rFont val="Arial"/>
        <family val="0"/>
        <charset val="1"/>
      </rPr>
      <t xml:space="preserve">S</t>
    </r>
    <r>
      <rPr>
        <sz val="10"/>
        <rFont val="Noto Sans CJK SC"/>
        <family val="2"/>
      </rPr>
      <t xml:space="preserve">는 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내려감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측정값을 뒤집지 않으면서 매일 변화는 보이는 수준</t>
    </r>
  </si>
  <si>
    <t xml:space="preserve">가중치 조정 근거</t>
  </si>
  <si>
    <t xml:space="preserve">question_id</t>
  </si>
  <si>
    <t xml:space="preserve">section</t>
  </si>
  <si>
    <t xml:space="preserve">order</t>
  </si>
  <si>
    <t xml:space="preserve">condition</t>
  </si>
  <si>
    <t xml:space="preserve">field</t>
  </si>
  <si>
    <t xml:space="preserve">question_text</t>
  </si>
  <si>
    <t xml:space="preserve">input_type</t>
  </si>
  <si>
    <r>
      <rPr>
        <b val="true"/>
        <sz val="10"/>
        <color rgb="FFFFFFFF"/>
        <rFont val="Arial"/>
        <family val="0"/>
        <charset val="1"/>
      </rPr>
      <t xml:space="preserve">options / </t>
    </r>
    <r>
      <rPr>
        <b val="true"/>
        <sz val="10"/>
        <color rgb="FFFFFFFF"/>
        <rFont val="Noto Sans CJK SC"/>
        <family val="2"/>
      </rPr>
      <t xml:space="preserve">단위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범위</t>
    </r>
  </si>
  <si>
    <t xml:space="preserve">required</t>
  </si>
  <si>
    <t xml:space="preserve">skip_label</t>
  </si>
  <si>
    <t xml:space="preserve">store_table</t>
  </si>
  <si>
    <t xml:space="preserve">store_column</t>
  </si>
  <si>
    <t xml:space="preserve">used_for</t>
  </si>
  <si>
    <t xml:space="preserve">note</t>
  </si>
  <si>
    <t xml:space="preserve">C01</t>
  </si>
  <si>
    <t xml:space="preserve">1_common</t>
  </si>
  <si>
    <t xml:space="preserve">consent</t>
  </si>
  <si>
    <r>
      <rPr>
        <sz val="10"/>
        <rFont val="Noto Sans CJK SC"/>
        <family val="2"/>
      </rPr>
      <t xml:space="preserve">건강 정보 수집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이용에 동의합니다</t>
    </r>
    <r>
      <rPr>
        <sz val="10"/>
        <rFont val="Arial"/>
        <family val="0"/>
        <charset val="1"/>
      </rPr>
      <t xml:space="preserve">. (</t>
    </r>
    <r>
      <rPr>
        <sz val="10"/>
        <rFont val="Noto Sans CJK SC"/>
        <family val="2"/>
      </rPr>
      <t xml:space="preserve">이 서비스는 진단이 아니며 의료 조언을 대신하지 않습니다</t>
    </r>
    <r>
      <rPr>
        <sz val="10"/>
        <rFont val="Arial"/>
        <family val="0"/>
        <charset val="1"/>
      </rPr>
      <t xml:space="preserve">)</t>
    </r>
  </si>
  <si>
    <t xml:space="preserve">예</t>
  </si>
  <si>
    <t xml:space="preserve">Y</t>
  </si>
  <si>
    <t xml:space="preserve">users</t>
  </si>
  <si>
    <t xml:space="preserve">consented_at</t>
  </si>
  <si>
    <t xml:space="preserve">R7</t>
  </si>
  <si>
    <t xml:space="preserve">동의 없으면 진행 불가</t>
  </si>
  <si>
    <t xml:space="preserve">C02</t>
  </si>
  <si>
    <t xml:space="preserve">birth_year</t>
  </si>
  <si>
    <t xml:space="preserve">태어난 해를 알려주세요</t>
  </si>
  <si>
    <t xml:space="preserve">number</t>
  </si>
  <si>
    <t xml:space="preserve">1930~2010</t>
  </si>
  <si>
    <t xml:space="preserve">health_profiles</t>
  </si>
  <si>
    <r>
      <rPr>
        <sz val="10"/>
        <rFont val="Arial"/>
        <family val="0"/>
        <charset val="1"/>
      </rPr>
      <t xml:space="preserve">age </t>
    </r>
    <r>
      <rPr>
        <sz val="10"/>
        <rFont val="Noto Sans CJK SC"/>
        <family val="2"/>
      </rPr>
      <t xml:space="preserve">피처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근접도 기준 분기</t>
    </r>
  </si>
  <si>
    <t xml:space="preserve">C03</t>
  </si>
  <si>
    <t xml:space="preserve">single</t>
  </si>
  <si>
    <r>
      <rPr>
        <sz val="10"/>
        <rFont val="Arial"/>
        <family val="0"/>
        <charset val="1"/>
      </rPr>
      <t xml:space="preserve">male </t>
    </r>
    <r>
      <rPr>
        <sz val="10"/>
        <rFont val="Noto Sans CJK SC"/>
        <family val="2"/>
      </rPr>
      <t xml:space="preserve">남성 </t>
    </r>
    <r>
      <rPr>
        <sz val="10"/>
        <rFont val="Arial"/>
        <family val="0"/>
        <charset val="1"/>
      </rPr>
      <t xml:space="preserve">/ female </t>
    </r>
    <r>
      <rPr>
        <sz val="10"/>
        <rFont val="Noto Sans CJK SC"/>
        <family val="2"/>
      </rPr>
      <t xml:space="preserve">여성</t>
    </r>
  </si>
  <si>
    <r>
      <rPr>
        <sz val="10"/>
        <rFont val="Arial"/>
        <family val="0"/>
        <charset val="1"/>
      </rPr>
      <t xml:space="preserve">sex </t>
    </r>
    <r>
      <rPr>
        <sz val="10"/>
        <rFont val="Noto Sans CJK SC"/>
        <family val="2"/>
      </rPr>
      <t xml:space="preserve">피처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허리둘레</t>
    </r>
    <r>
      <rPr>
        <sz val="10"/>
        <rFont val="Arial"/>
        <family val="0"/>
        <charset val="1"/>
      </rPr>
      <t xml:space="preserve">·HDL </t>
    </r>
    <r>
      <rPr>
        <sz val="10"/>
        <rFont val="Noto Sans CJK SC"/>
        <family val="2"/>
      </rPr>
      <t xml:space="preserve">기준 분기</t>
    </r>
  </si>
  <si>
    <t xml:space="preserve">C04</t>
  </si>
  <si>
    <t xml:space="preserve">height_cm</t>
  </si>
  <si>
    <r>
      <rPr>
        <sz val="10"/>
        <rFont val="Noto Sans CJK SC"/>
        <family val="2"/>
      </rPr>
      <t xml:space="preserve">키 </t>
    </r>
    <r>
      <rPr>
        <sz val="10"/>
        <rFont val="Arial"/>
        <family val="0"/>
        <charset val="1"/>
      </rPr>
      <t xml:space="preserve">(cm)</t>
    </r>
  </si>
  <si>
    <t xml:space="preserve">100~250</t>
  </si>
  <si>
    <t xml:space="preserve">C05</t>
  </si>
  <si>
    <t xml:space="preserve">weight_kg</t>
  </si>
  <si>
    <r>
      <rPr>
        <sz val="10"/>
        <rFont val="Noto Sans CJK SC"/>
        <family val="2"/>
      </rPr>
      <t xml:space="preserve">몸무게 </t>
    </r>
    <r>
      <rPr>
        <sz val="10"/>
        <rFont val="Arial"/>
        <family val="0"/>
        <charset val="1"/>
      </rPr>
      <t xml:space="preserve">(kg)</t>
    </r>
  </si>
  <si>
    <t xml:space="preserve">20~300</t>
  </si>
  <si>
    <r>
      <rPr>
        <sz val="10"/>
        <rFont val="Arial"/>
        <family val="0"/>
        <charset val="1"/>
      </rPr>
      <t xml:space="preserve">BMI, </t>
    </r>
    <r>
      <rPr>
        <sz val="10"/>
        <rFont val="Noto Sans CJK SC"/>
        <family val="2"/>
      </rPr>
      <t xml:space="preserve">비만 근접도</t>
    </r>
  </si>
  <si>
    <r>
      <rPr>
        <sz val="10"/>
        <rFont val="Arial"/>
        <family val="0"/>
        <charset val="1"/>
      </rPr>
      <t xml:space="preserve">health_records</t>
    </r>
    <r>
      <rPr>
        <sz val="10"/>
        <rFont val="Noto Sans CJK SC"/>
        <family val="2"/>
      </rPr>
      <t xml:space="preserve">에도 </t>
    </r>
    <r>
      <rPr>
        <sz val="10"/>
        <rFont val="Arial"/>
        <family val="0"/>
        <charset val="1"/>
      </rPr>
      <t xml:space="preserve">weight 1</t>
    </r>
    <r>
      <rPr>
        <sz val="10"/>
        <rFont val="Noto Sans CJK SC"/>
        <family val="2"/>
      </rPr>
      <t xml:space="preserve">건 저장</t>
    </r>
  </si>
  <si>
    <t xml:space="preserve">C06</t>
  </si>
  <si>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비흡연 </t>
    </r>
    <r>
      <rPr>
        <sz val="10"/>
        <rFont val="Arial"/>
        <family val="0"/>
        <charset val="1"/>
      </rPr>
      <t xml:space="preserve">/ 1 </t>
    </r>
    <r>
      <rPr>
        <sz val="10"/>
        <rFont val="Noto Sans CJK SC"/>
        <family val="2"/>
      </rPr>
      <t xml:space="preserve">과거 흡연 </t>
    </r>
    <r>
      <rPr>
        <sz val="10"/>
        <rFont val="Arial"/>
        <family val="0"/>
        <charset val="1"/>
      </rPr>
      <t xml:space="preserve">/ 2 </t>
    </r>
    <r>
      <rPr>
        <sz val="10"/>
        <rFont val="Noto Sans CJK SC"/>
        <family val="2"/>
      </rPr>
      <t xml:space="preserve">현재 흡연</t>
    </r>
  </si>
  <si>
    <r>
      <rPr>
        <sz val="10"/>
        <rFont val="Arial"/>
        <family val="0"/>
        <charset val="1"/>
      </rPr>
      <t xml:space="preserve">smoking </t>
    </r>
    <r>
      <rPr>
        <sz val="10"/>
        <rFont val="Noto Sans CJK SC"/>
        <family val="2"/>
      </rPr>
      <t xml:space="preserve">피처</t>
    </r>
  </si>
  <si>
    <t xml:space="preserve">C07</t>
  </si>
  <si>
    <r>
      <rPr>
        <sz val="10"/>
        <rFont val="Noto Sans CJK SC"/>
        <family val="2"/>
      </rPr>
      <t xml:space="preserve">일주일에 술을 몇 번 마시나요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</si>
  <si>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0 / 1 / 2 / 3 / 4 / 5 / 6 / 7 </t>
    </r>
    <r>
      <rPr>
        <sz val="10"/>
        <rFont val="Noto Sans CJK SC"/>
        <family val="2"/>
      </rPr>
      <t xml:space="preserve">회</t>
    </r>
  </si>
  <si>
    <r>
      <rPr>
        <sz val="10"/>
        <rFont val="Arial"/>
        <family val="0"/>
        <charset val="1"/>
      </rPr>
      <t xml:space="preserve">alcohol_freq </t>
    </r>
    <r>
      <rPr>
        <sz val="10"/>
        <rFont val="Noto Sans CJK SC"/>
        <family val="2"/>
      </rPr>
      <t xml:space="preserve">피처</t>
    </r>
  </si>
  <si>
    <r>
      <rPr>
        <sz val="10"/>
        <rFont val="Arial"/>
        <family val="0"/>
        <charset val="1"/>
      </rPr>
      <t xml:space="preserve">KNHANES BD1_11 </t>
    </r>
    <r>
      <rPr>
        <sz val="10"/>
        <rFont val="Noto Sans CJK SC"/>
        <family val="2"/>
      </rPr>
      <t xml:space="preserve">코딩과 매핑</t>
    </r>
  </si>
  <si>
    <t xml:space="preserve">C08</t>
  </si>
  <si>
    <r>
      <rPr>
        <sz val="10"/>
        <rFont val="Noto Sans CJK SC"/>
        <family val="2"/>
      </rPr>
      <t xml:space="preserve">일주일에 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분 이상 운동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빠르게 걷기 포함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을 몇 번 하나요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</si>
  <si>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0~7 </t>
    </r>
    <r>
      <rPr>
        <sz val="10"/>
        <rFont val="Noto Sans CJK SC"/>
        <family val="2"/>
      </rPr>
      <t xml:space="preserve">회</t>
    </r>
  </si>
  <si>
    <r>
      <rPr>
        <sz val="10"/>
        <rFont val="Arial"/>
        <family val="0"/>
        <charset val="1"/>
      </rPr>
      <t xml:space="preserve">exercise_freq </t>
    </r>
    <r>
      <rPr>
        <sz val="10"/>
        <rFont val="Noto Sans CJK SC"/>
        <family val="2"/>
      </rPr>
      <t xml:space="preserve">피처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활동 점수 초기값</t>
    </r>
  </si>
  <si>
    <t xml:space="preserve">C09</t>
  </si>
  <si>
    <t xml:space="preserve">하루 평균 수면시간</t>
  </si>
  <si>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시간 이하 </t>
    </r>
    <r>
      <rPr>
        <sz val="10"/>
        <rFont val="Arial"/>
        <family val="0"/>
        <charset val="1"/>
      </rPr>
      <t xml:space="preserve">/ 6 / 7 / 8 / 9</t>
    </r>
    <r>
      <rPr>
        <sz val="10"/>
        <rFont val="Noto Sans CJK SC"/>
        <family val="2"/>
      </rPr>
      <t xml:space="preserve">시간 이상 </t>
    </r>
    <r>
      <rPr>
        <sz val="10"/>
        <rFont val="Arial"/>
        <family val="0"/>
        <charset val="1"/>
      </rPr>
      <t xml:space="preserve">(→ 5,6,7,8,9)</t>
    </r>
  </si>
  <si>
    <r>
      <rPr>
        <sz val="10"/>
        <rFont val="Arial"/>
        <family val="0"/>
        <charset val="1"/>
      </rPr>
      <t xml:space="preserve">sleep_hours </t>
    </r>
    <r>
      <rPr>
        <sz val="10"/>
        <rFont val="Noto Sans CJK SC"/>
        <family val="2"/>
      </rPr>
      <t xml:space="preserve">피처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수면 점수 초기값</t>
    </r>
  </si>
  <si>
    <t xml:space="preserve">C10</t>
  </si>
  <si>
    <t xml:space="preserve">family_history</t>
  </si>
  <si>
    <r>
      <rPr>
        <sz val="10"/>
        <rFont val="Noto Sans CJK SC"/>
        <family val="2"/>
      </rPr>
      <t xml:space="preserve">가족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부모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형제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중 진단받은 분이 있나요</t>
    </r>
    <r>
      <rPr>
        <sz val="10"/>
        <rFont val="Arial"/>
        <family val="0"/>
        <charset val="1"/>
      </rPr>
      <t xml:space="preserve">?</t>
    </r>
  </si>
  <si>
    <t xml:space="preserve">multi</t>
  </si>
  <si>
    <r>
      <rPr>
        <sz val="10"/>
        <rFont val="Arial"/>
        <family val="0"/>
        <charset val="1"/>
      </rPr>
      <t xml:space="preserve">hypertension </t>
    </r>
    <r>
      <rPr>
        <sz val="10"/>
        <rFont val="Noto Sans CJK SC"/>
        <family val="2"/>
      </rPr>
      <t xml:space="preserve">고혈압 </t>
    </r>
    <r>
      <rPr>
        <sz val="10"/>
        <rFont val="Arial"/>
        <family val="0"/>
        <charset val="1"/>
      </rPr>
      <t xml:space="preserve">/ diabetes </t>
    </r>
    <r>
      <rPr>
        <sz val="10"/>
        <rFont val="Noto Sans CJK SC"/>
        <family val="2"/>
      </rPr>
      <t xml:space="preserve">당뇨 </t>
    </r>
    <r>
      <rPr>
        <sz val="10"/>
        <rFont val="Arial"/>
        <family val="0"/>
        <charset val="1"/>
      </rPr>
      <t xml:space="preserve">/ heart </t>
    </r>
    <r>
      <rPr>
        <sz val="10"/>
        <rFont val="Noto Sans CJK SC"/>
        <family val="2"/>
      </rPr>
      <t xml:space="preserve">심장질환 </t>
    </r>
    <r>
      <rPr>
        <sz val="10"/>
        <rFont val="Arial"/>
        <family val="0"/>
        <charset val="1"/>
      </rPr>
      <t xml:space="preserve">/ kidney </t>
    </r>
    <r>
      <rPr>
        <sz val="10"/>
        <rFont val="Noto Sans CJK SC"/>
        <family val="2"/>
      </rPr>
      <t xml:space="preserve">신장질환 </t>
    </r>
    <r>
      <rPr>
        <sz val="10"/>
        <rFont val="Arial"/>
        <family val="0"/>
        <charset val="1"/>
      </rPr>
      <t xml:space="preserve">/ none </t>
    </r>
    <r>
      <rPr>
        <sz val="10"/>
        <rFont val="Noto Sans CJK SC"/>
        <family val="2"/>
      </rPr>
      <t xml:space="preserve">없음</t>
    </r>
  </si>
  <si>
    <t xml:space="preserve">family_history[]</t>
  </si>
  <si>
    <r>
      <rPr>
        <sz val="10"/>
        <rFont val="Arial"/>
        <family val="0"/>
        <charset val="1"/>
      </rPr>
      <t xml:space="preserve">fh_htn, fh_dm, fh_kidney </t>
    </r>
    <r>
      <rPr>
        <sz val="10"/>
        <rFont val="Noto Sans CJK SC"/>
        <family val="2"/>
      </rPr>
      <t xml:space="preserve">피처</t>
    </r>
  </si>
  <si>
    <r>
      <rPr>
        <sz val="10"/>
        <rFont val="Arial"/>
        <family val="0"/>
        <charset val="1"/>
      </rPr>
      <t xml:space="preserve">none</t>
    </r>
    <r>
      <rPr>
        <sz val="10"/>
        <rFont val="Noto Sans CJK SC"/>
        <family val="2"/>
      </rPr>
      <t xml:space="preserve">과 다른 항목 동시 선택 불가</t>
    </r>
    <r>
      <rPr>
        <sz val="10"/>
        <rFont val="Arial"/>
        <family val="0"/>
        <charset val="1"/>
      </rPr>
      <t xml:space="preserve">(400)</t>
    </r>
  </si>
  <si>
    <t xml:space="preserve">C11</t>
  </si>
  <si>
    <t xml:space="preserve">is_prestage</t>
  </si>
  <si>
    <r>
      <rPr>
        <sz val="10"/>
        <rFont val="Noto Sans CJK SC"/>
        <family val="2"/>
      </rPr>
      <t xml:space="preserve">최근 건강검진에서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주의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전단계</t>
    </r>
    <r>
      <rPr>
        <sz val="10"/>
        <rFont val="Arial"/>
        <family val="0"/>
        <charset val="1"/>
      </rPr>
      <t xml:space="preserve">)' </t>
    </r>
    <r>
      <rPr>
        <sz val="10"/>
        <rFont val="Noto Sans CJK SC"/>
        <family val="2"/>
      </rPr>
      <t xml:space="preserve">판정을 받은 적이 있나요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</si>
  <si>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yes / no / unknown </t>
    </r>
    <r>
      <rPr>
        <sz val="10"/>
        <rFont val="Noto Sans CJK SC"/>
        <family val="2"/>
      </rPr>
      <t xml:space="preserve">모름</t>
    </r>
  </si>
  <si>
    <t xml:space="preserve">N</t>
  </si>
  <si>
    <t xml:space="preserve">모름</t>
  </si>
  <si>
    <r>
      <rPr>
        <sz val="10"/>
        <rFont val="Noto Sans CJK SC"/>
        <family val="2"/>
      </rPr>
      <t xml:space="preserve">홈 카드 문구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전단계 타겟</t>
    </r>
    <r>
      <rPr>
        <sz val="10"/>
        <rFont val="Arial"/>
        <family val="0"/>
        <charset val="1"/>
      </rPr>
      <t xml:space="preserve">)</t>
    </r>
  </si>
  <si>
    <t xml:space="preserve">D00</t>
  </si>
  <si>
    <t xml:space="preserve">2_disease</t>
  </si>
  <si>
    <t xml:space="preserve">conditions</t>
  </si>
  <si>
    <r>
      <rPr>
        <sz val="10"/>
        <rFont val="Noto Sans CJK SC"/>
        <family val="2"/>
      </rPr>
      <t xml:space="preserve">의사에게 진단받은 질환이 있나요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</si>
  <si>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hypertension </t>
    </r>
    <r>
      <rPr>
        <sz val="10"/>
        <rFont val="Noto Sans CJK SC"/>
        <family val="2"/>
      </rPr>
      <t xml:space="preserve">고혈압 </t>
    </r>
    <r>
      <rPr>
        <sz val="10"/>
        <rFont val="Arial"/>
        <family val="0"/>
        <charset val="1"/>
      </rPr>
      <t xml:space="preserve">/ diabetes </t>
    </r>
    <r>
      <rPr>
        <sz val="10"/>
        <rFont val="Noto Sans CJK SC"/>
        <family val="2"/>
      </rPr>
      <t xml:space="preserve">당뇨 </t>
    </r>
    <r>
      <rPr>
        <sz val="10"/>
        <rFont val="Arial"/>
        <family val="0"/>
        <charset val="1"/>
      </rPr>
      <t xml:space="preserve">/ dyslipidemia </t>
    </r>
    <r>
      <rPr>
        <sz val="10"/>
        <rFont val="Noto Sans CJK SC"/>
        <family val="2"/>
      </rPr>
      <t xml:space="preserve">이상지질혈증 </t>
    </r>
    <r>
      <rPr>
        <sz val="10"/>
        <rFont val="Arial"/>
        <family val="0"/>
        <charset val="1"/>
      </rPr>
      <t xml:space="preserve">/ ckd </t>
    </r>
    <r>
      <rPr>
        <sz val="10"/>
        <rFont val="Noto Sans CJK SC"/>
        <family val="2"/>
      </rPr>
      <t xml:space="preserve">만성콩팥병 </t>
    </r>
    <r>
      <rPr>
        <sz val="10"/>
        <rFont val="Arial"/>
        <family val="0"/>
        <charset val="1"/>
      </rPr>
      <t xml:space="preserve">/ fatty_liver </t>
    </r>
    <r>
      <rPr>
        <sz val="10"/>
        <rFont val="Noto Sans CJK SC"/>
        <family val="2"/>
      </rPr>
      <t xml:space="preserve">지방간 </t>
    </r>
    <r>
      <rPr>
        <sz val="10"/>
        <rFont val="Arial"/>
        <family val="0"/>
        <charset val="1"/>
      </rPr>
      <t xml:space="preserve">/ none </t>
    </r>
    <r>
      <rPr>
        <sz val="10"/>
        <rFont val="Noto Sans CJK SC"/>
        <family val="2"/>
      </rPr>
      <t xml:space="preserve">없음</t>
    </r>
  </si>
  <si>
    <t xml:space="preserve">user_conditions</t>
  </si>
  <si>
    <r>
      <rPr>
        <sz val="10"/>
        <rFont val="Arial"/>
        <family val="0"/>
        <charset val="1"/>
      </rPr>
      <t xml:space="preserve">user_mode </t>
    </r>
    <r>
      <rPr>
        <sz val="10"/>
        <rFont val="Noto Sans CJK SC"/>
        <family val="2"/>
      </rPr>
      <t xml:space="preserve">분기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고혈압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당뇨 → </t>
    </r>
    <r>
      <rPr>
        <sz val="10"/>
        <rFont val="Arial"/>
        <family val="0"/>
        <charset val="1"/>
      </rPr>
      <t xml:space="preserve">management), has_htn·has_dm </t>
    </r>
    <r>
      <rPr>
        <sz val="10"/>
        <rFont val="Noto Sans CJK SC"/>
        <family val="2"/>
      </rPr>
      <t xml:space="preserve">피처</t>
    </r>
  </si>
  <si>
    <r>
      <rPr>
        <sz val="10"/>
        <rFont val="Arial"/>
        <family val="0"/>
        <charset val="1"/>
      </rPr>
      <t xml:space="preserve">none</t>
    </r>
    <r>
      <rPr>
        <sz val="10"/>
        <rFont val="Noto Sans CJK SC"/>
        <family val="2"/>
      </rPr>
      <t xml:space="preserve">과 동시 선택 불가</t>
    </r>
    <r>
      <rPr>
        <sz val="10"/>
        <rFont val="Arial"/>
        <family val="0"/>
        <charset val="1"/>
      </rPr>
      <t xml:space="preserve">(400)</t>
    </r>
  </si>
  <si>
    <t xml:space="preserve">D10</t>
  </si>
  <si>
    <t xml:space="preserve">disease=hypertension</t>
  </si>
  <si>
    <t xml:space="preserve">htn_medication</t>
  </si>
  <si>
    <r>
      <rPr>
        <sz val="10"/>
        <rFont val="Noto Sans CJK SC"/>
        <family val="2"/>
      </rPr>
      <t xml:space="preserve">혈압약을 드시고 있나요</t>
    </r>
    <r>
      <rPr>
        <sz val="10"/>
        <rFont val="Arial"/>
        <family val="0"/>
        <charset val="1"/>
      </rPr>
      <t xml:space="preserve">?</t>
    </r>
  </si>
  <si>
    <t xml:space="preserve">yes / no</t>
  </si>
  <si>
    <r>
      <rPr>
        <sz val="10"/>
        <rFont val="Noto Sans CJK SC"/>
        <family val="2"/>
      </rPr>
      <t xml:space="preserve">근접도 </t>
    </r>
    <r>
      <rPr>
        <sz val="10"/>
        <rFont val="Arial"/>
        <family val="0"/>
        <charset val="1"/>
      </rPr>
      <t xml:space="preserve">100% </t>
    </r>
    <r>
      <rPr>
        <sz val="10"/>
        <rFont val="Noto Sans CJK SC"/>
        <family val="2"/>
      </rPr>
      <t xml:space="preserve">기준 조정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약 복용 시 목표치</t>
    </r>
    <r>
      <rPr>
        <sz val="10"/>
        <rFont val="Arial"/>
        <family val="0"/>
        <charset val="1"/>
      </rPr>
      <t xml:space="preserve">), </t>
    </r>
    <r>
      <rPr>
        <sz val="10"/>
        <rFont val="Noto Sans CJK SC"/>
        <family val="2"/>
      </rPr>
      <t xml:space="preserve">라벨 정합</t>
    </r>
  </si>
  <si>
    <r>
      <rPr>
        <sz val="10"/>
        <rFont val="Noto Sans CJK SC"/>
        <family val="2"/>
      </rPr>
      <t xml:space="preserve">복약 지도 없음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기록만</t>
    </r>
  </si>
  <si>
    <t xml:space="preserve">D11</t>
  </si>
  <si>
    <t xml:space="preserve">disease=hypertension;answer:D10=yes</t>
  </si>
  <si>
    <t xml:space="preserve">target_bp</t>
  </si>
  <si>
    <r>
      <rPr>
        <sz val="10"/>
        <rFont val="Noto Sans CJK SC"/>
        <family val="2"/>
      </rPr>
      <t xml:space="preserve">의사가 알려준 목표 혈압이 있나요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</si>
  <si>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수축기 </t>
    </r>
    <r>
      <rPr>
        <sz val="10"/>
        <rFont val="Arial"/>
        <family val="0"/>
        <charset val="1"/>
      </rPr>
      <t xml:space="preserve">100~160 / </t>
    </r>
    <r>
      <rPr>
        <sz val="10"/>
        <rFont val="Noto Sans CJK SC"/>
        <family val="2"/>
      </rPr>
      <t xml:space="preserve">이완기 </t>
    </r>
    <r>
      <rPr>
        <sz val="10"/>
        <rFont val="Arial"/>
        <family val="0"/>
        <charset val="1"/>
      </rPr>
      <t xml:space="preserve">60~100, </t>
    </r>
    <r>
      <rPr>
        <sz val="10"/>
        <rFont val="Noto Sans CJK SC"/>
        <family val="2"/>
      </rPr>
      <t xml:space="preserve">기본값 </t>
    </r>
    <r>
      <rPr>
        <sz val="10"/>
        <rFont val="Arial"/>
        <family val="0"/>
        <charset val="1"/>
      </rPr>
      <t xml:space="preserve">130/80</t>
    </r>
  </si>
  <si>
    <r>
      <rPr>
        <sz val="10"/>
        <rFont val="Noto Sans CJK SC"/>
        <family val="2"/>
      </rPr>
      <t xml:space="preserve">없음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모름</t>
    </r>
  </si>
  <si>
    <t xml:space="preserve">target_sbp, target_dbp</t>
  </si>
  <si>
    <r>
      <rPr>
        <sz val="10"/>
        <rFont val="Noto Sans CJK SC"/>
        <family val="2"/>
      </rPr>
      <t xml:space="preserve">고혈압 근접도 </t>
    </r>
    <r>
      <rPr>
        <sz val="10"/>
        <rFont val="Arial"/>
        <family val="0"/>
        <charset val="1"/>
      </rPr>
      <t xml:space="preserve">100% </t>
    </r>
    <r>
      <rPr>
        <sz val="10"/>
        <rFont val="Noto Sans CJK SC"/>
        <family val="2"/>
      </rPr>
      <t xml:space="preserve">기준</t>
    </r>
  </si>
  <si>
    <r>
      <rPr>
        <sz val="10"/>
        <rFont val="Noto Sans CJK SC"/>
        <family val="2"/>
      </rPr>
      <t xml:space="preserve">미입력 시 </t>
    </r>
    <r>
      <rPr>
        <sz val="10"/>
        <rFont val="Arial"/>
        <family val="0"/>
        <charset val="1"/>
      </rPr>
      <t xml:space="preserve">130/80</t>
    </r>
  </si>
  <si>
    <t xml:space="preserve">D20</t>
  </si>
  <si>
    <t xml:space="preserve">disease=diabetes</t>
  </si>
  <si>
    <t xml:space="preserve">dm_type</t>
  </si>
  <si>
    <t xml:space="preserve">당뇨 유형</t>
  </si>
  <si>
    <r>
      <rPr>
        <sz val="10"/>
        <rFont val="Arial"/>
        <family val="0"/>
        <charset val="1"/>
      </rPr>
      <t xml:space="preserve">type2 2</t>
    </r>
    <r>
      <rPr>
        <sz val="10"/>
        <rFont val="Noto Sans CJK SC"/>
        <family val="2"/>
      </rPr>
      <t xml:space="preserve">형 </t>
    </r>
    <r>
      <rPr>
        <sz val="10"/>
        <rFont val="Arial"/>
        <family val="0"/>
        <charset val="1"/>
      </rPr>
      <t xml:space="preserve">/ type1 1</t>
    </r>
    <r>
      <rPr>
        <sz val="10"/>
        <rFont val="Noto Sans CJK SC"/>
        <family val="2"/>
      </rPr>
      <t xml:space="preserve">형 </t>
    </r>
    <r>
      <rPr>
        <sz val="10"/>
        <rFont val="Arial"/>
        <family val="0"/>
        <charset val="1"/>
      </rPr>
      <t xml:space="preserve">/ gestational </t>
    </r>
    <r>
      <rPr>
        <sz val="10"/>
        <rFont val="Noto Sans CJK SC"/>
        <family val="2"/>
      </rPr>
      <t xml:space="preserve">임신성 </t>
    </r>
    <r>
      <rPr>
        <sz val="10"/>
        <rFont val="Arial"/>
        <family val="0"/>
        <charset val="1"/>
      </rPr>
      <t xml:space="preserve">/ unknown </t>
    </r>
    <r>
      <rPr>
        <sz val="10"/>
        <rFont val="Noto Sans CJK SC"/>
        <family val="2"/>
      </rPr>
      <t xml:space="preserve">모름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</si>
  <si>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형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임신성은 생활습관 위험도 모델 대상 밖 → 관리 모드 문구만</t>
    </r>
  </si>
  <si>
    <t xml:space="preserve">D21</t>
  </si>
  <si>
    <t xml:space="preserve">dm_medication</t>
  </si>
  <si>
    <r>
      <rPr>
        <sz val="10"/>
        <rFont val="Noto Sans CJK SC"/>
        <family val="2"/>
      </rPr>
      <t xml:space="preserve">당뇨약 또는 인슐린을 사용하나요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</si>
  <si>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none </t>
    </r>
    <r>
      <rPr>
        <sz val="10"/>
        <rFont val="Noto Sans CJK SC"/>
        <family val="2"/>
      </rPr>
      <t xml:space="preserve">없음 </t>
    </r>
    <r>
      <rPr>
        <sz val="10"/>
        <rFont val="Arial"/>
        <family val="0"/>
        <charset val="1"/>
      </rPr>
      <t xml:space="preserve">/ oral </t>
    </r>
    <r>
      <rPr>
        <sz val="10"/>
        <rFont val="Noto Sans CJK SC"/>
        <family val="2"/>
      </rPr>
      <t xml:space="preserve">먹는 약 </t>
    </r>
    <r>
      <rPr>
        <sz val="10"/>
        <rFont val="Arial"/>
        <family val="0"/>
        <charset val="1"/>
      </rPr>
      <t xml:space="preserve">/ insulin </t>
    </r>
    <r>
      <rPr>
        <sz val="10"/>
        <rFont val="Noto Sans CJK SC"/>
        <family val="2"/>
      </rPr>
      <t xml:space="preserve">인슐린 </t>
    </r>
    <r>
      <rPr>
        <sz val="10"/>
        <rFont val="Arial"/>
        <family val="0"/>
        <charset val="1"/>
      </rPr>
      <t xml:space="preserve">/ both </t>
    </r>
    <r>
      <rPr>
        <sz val="10"/>
        <rFont val="Noto Sans CJK SC"/>
        <family val="2"/>
      </rPr>
      <t xml:space="preserve">둘 다</t>
    </r>
  </si>
  <si>
    <r>
      <rPr>
        <sz val="10"/>
        <rFont val="Noto Sans CJK SC"/>
        <family val="2"/>
      </rPr>
      <t xml:space="preserve">근접도 기준 조정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라벨 정합</t>
    </r>
  </si>
  <si>
    <t xml:space="preserve">인슐린 사용자는 저혈당 주의 안내 카드</t>
  </si>
  <si>
    <t xml:space="preserve">D22</t>
  </si>
  <si>
    <r>
      <rPr>
        <sz val="10"/>
        <rFont val="Noto Sans CJK SC"/>
        <family val="2"/>
      </rPr>
      <t xml:space="preserve">최근 당화혈색소</t>
    </r>
    <r>
      <rPr>
        <sz val="10"/>
        <rFont val="Arial"/>
        <family val="0"/>
        <charset val="1"/>
      </rPr>
      <t xml:space="preserve">(HbA1c) </t>
    </r>
    <r>
      <rPr>
        <sz val="10"/>
        <rFont val="Noto Sans CJK SC"/>
        <family val="2"/>
      </rPr>
      <t xml:space="preserve">수치를 아시나요</t>
    </r>
    <r>
      <rPr>
        <sz val="10"/>
        <rFont val="Arial"/>
        <family val="0"/>
        <charset val="1"/>
      </rPr>
      <t xml:space="preserve">? (%)</t>
    </r>
  </si>
  <si>
    <t xml:space="preserve">4.0~15.0</t>
  </si>
  <si>
    <t xml:space="preserve">health_records</t>
  </si>
  <si>
    <t xml:space="preserve">record_type=hba1c</t>
  </si>
  <si>
    <r>
      <rPr>
        <sz val="10"/>
        <rFont val="Noto Sans CJK SC"/>
        <family val="2"/>
      </rPr>
      <t xml:space="preserve">당뇨 근접도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밴드</t>
    </r>
  </si>
  <si>
    <r>
      <rPr>
        <sz val="10"/>
        <rFont val="Noto Sans CJK SC"/>
        <family val="2"/>
      </rPr>
      <t xml:space="preserve">검진일 </t>
    </r>
    <r>
      <rPr>
        <sz val="10"/>
        <rFont val="Arial"/>
        <family val="0"/>
        <charset val="1"/>
      </rPr>
      <t xml:space="preserve">D90</t>
    </r>
    <r>
      <rPr>
        <sz val="10"/>
        <rFont val="Noto Sans CJK SC"/>
        <family val="2"/>
      </rPr>
      <t xml:space="preserve">에서 한 번만 받음</t>
    </r>
  </si>
  <si>
    <t xml:space="preserve">D30</t>
  </si>
  <si>
    <t xml:space="preserve">disease=dyslipidemia</t>
  </si>
  <si>
    <r>
      <rPr>
        <sz val="10"/>
        <rFont val="Noto Sans CJK SC"/>
        <family val="2"/>
      </rPr>
      <t xml:space="preserve">콜레스테롤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지질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약을 드시고 있나요</t>
    </r>
    <r>
      <rPr>
        <sz val="10"/>
        <rFont val="Arial"/>
        <family val="0"/>
        <charset val="1"/>
      </rPr>
      <t xml:space="preserve">?</t>
    </r>
  </si>
  <si>
    <t xml:space="preserve">라벨 정합</t>
  </si>
  <si>
    <t xml:space="preserve">D31</t>
  </si>
  <si>
    <t xml:space="preserve">lipid_panel</t>
  </si>
  <si>
    <r>
      <rPr>
        <sz val="10"/>
        <rFont val="Noto Sans CJK SC"/>
        <family val="2"/>
      </rPr>
      <t xml:space="preserve">최근 검진의 </t>
    </r>
    <r>
      <rPr>
        <sz val="10"/>
        <rFont val="Arial"/>
        <family val="0"/>
        <charset val="1"/>
      </rPr>
      <t xml:space="preserve">LDL / HDL / </t>
    </r>
    <r>
      <rPr>
        <sz val="10"/>
        <rFont val="Noto Sans CJK SC"/>
        <family val="2"/>
      </rPr>
      <t xml:space="preserve">중성지방 수치를 아시나요</t>
    </r>
    <r>
      <rPr>
        <sz val="10"/>
        <rFont val="Arial"/>
        <family val="0"/>
        <charset val="1"/>
      </rPr>
      <t xml:space="preserve">? (mg/dL)</t>
    </r>
  </si>
  <si>
    <r>
      <rPr>
        <sz val="10"/>
        <rFont val="Arial"/>
        <family val="0"/>
        <charset val="1"/>
      </rPr>
      <t xml:space="preserve">LDL 30~300 / HDL 10~150 / TG 30~1000, </t>
    </r>
    <r>
      <rPr>
        <sz val="10"/>
        <rFont val="Noto Sans CJK SC"/>
        <family val="2"/>
      </rPr>
      <t xml:space="preserve">각각 선택</t>
    </r>
  </si>
  <si>
    <t xml:space="preserve">record_type=ldl, hdl, triglycerides</t>
  </si>
  <si>
    <r>
      <rPr>
        <sz val="10"/>
        <rFont val="Noto Sans CJK SC"/>
        <family val="2"/>
      </rPr>
      <t xml:space="preserve">이상지질혈증 근접도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밴드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대사증후군 판정</t>
    </r>
  </si>
  <si>
    <t xml:space="preserve">D40</t>
  </si>
  <si>
    <t xml:space="preserve">disease=ckd</t>
  </si>
  <si>
    <t xml:space="preserve">ckd_stage</t>
  </si>
  <si>
    <r>
      <rPr>
        <sz val="10"/>
        <rFont val="Noto Sans CJK SC"/>
        <family val="2"/>
      </rPr>
      <t xml:space="preserve">만성콩팥병 단계를 아시나요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</si>
  <si>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1 / 2 / 3 / 4 / 5 / unknown </t>
    </r>
    <r>
      <rPr>
        <sz val="10"/>
        <rFont val="Noto Sans CJK SC"/>
        <family val="2"/>
      </rPr>
      <t xml:space="preserve">모름</t>
    </r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</si>
  <si>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단계 이상이면 단백질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칼륨 관련 퀘스트를 풀에서 제외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안전</t>
    </r>
    <r>
      <rPr>
        <sz val="10"/>
        <rFont val="Arial"/>
        <family val="0"/>
        <charset val="1"/>
      </rPr>
      <t xml:space="preserve">)</t>
    </r>
  </si>
  <si>
    <t xml:space="preserve">D41</t>
  </si>
  <si>
    <t xml:space="preserve">egfr_or_creatinine</t>
  </si>
  <si>
    <r>
      <rPr>
        <sz val="10"/>
        <rFont val="Noto Sans CJK SC"/>
        <family val="2"/>
      </rPr>
      <t xml:space="preserve">최근 검진의 </t>
    </r>
    <r>
      <rPr>
        <sz val="10"/>
        <rFont val="Arial"/>
        <family val="0"/>
        <charset val="1"/>
      </rPr>
      <t xml:space="preserve">eGFR </t>
    </r>
    <r>
      <rPr>
        <sz val="10"/>
        <rFont val="Noto Sans CJK SC"/>
        <family val="2"/>
      </rPr>
      <t xml:space="preserve">또는 혈청 크레아티닌 수치를 아시나요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</si>
  <si>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eGFR 5~150 mL/min/1.73m² </t>
    </r>
    <r>
      <rPr>
        <sz val="10"/>
        <rFont val="Noto Sans CJK SC"/>
        <family val="2"/>
      </rPr>
      <t xml:space="preserve">또는 </t>
    </r>
    <r>
      <rPr>
        <sz val="10"/>
        <rFont val="Arial"/>
        <family val="0"/>
        <charset val="1"/>
      </rPr>
      <t xml:space="preserve">Cr 0.3~15 mg/dL (</t>
    </r>
    <r>
      <rPr>
        <sz val="10"/>
        <rFont val="Noto Sans CJK SC"/>
        <family val="2"/>
      </rPr>
      <t xml:space="preserve">하나만</t>
    </r>
    <r>
      <rPr>
        <sz val="10"/>
        <rFont val="Arial"/>
        <family val="0"/>
        <charset val="1"/>
      </rPr>
      <t xml:space="preserve">)</t>
    </r>
  </si>
  <si>
    <t xml:space="preserve">record_type=egfr | creatinine</t>
  </si>
  <si>
    <r>
      <rPr>
        <sz val="10"/>
        <rFont val="Arial"/>
        <family val="0"/>
        <charset val="1"/>
      </rPr>
      <t xml:space="preserve">CKD </t>
    </r>
    <r>
      <rPr>
        <sz val="10"/>
        <rFont val="Noto Sans CJK SC"/>
        <family val="2"/>
      </rPr>
      <t xml:space="preserve">근접도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밴드</t>
    </r>
  </si>
  <si>
    <r>
      <rPr>
        <sz val="10"/>
        <rFont val="Arial"/>
        <family val="0"/>
        <charset val="1"/>
      </rPr>
      <t xml:space="preserve">Cr </t>
    </r>
    <r>
      <rPr>
        <sz val="10"/>
        <rFont val="Noto Sans CJK SC"/>
        <family val="2"/>
      </rPr>
      <t xml:space="preserve">입력 시 서버가 </t>
    </r>
    <r>
      <rPr>
        <sz val="10"/>
        <rFont val="Arial"/>
        <family val="0"/>
        <charset val="1"/>
      </rPr>
      <t xml:space="preserve">CKD-EPI 2021</t>
    </r>
    <r>
      <rPr>
        <sz val="10"/>
        <rFont val="Noto Sans CJK SC"/>
        <family val="2"/>
      </rPr>
      <t xml:space="preserve">로 </t>
    </r>
    <r>
      <rPr>
        <sz val="10"/>
        <rFont val="Arial"/>
        <family val="0"/>
        <charset val="1"/>
      </rPr>
      <t xml:space="preserve">eGFR </t>
    </r>
    <r>
      <rPr>
        <sz val="10"/>
        <rFont val="Noto Sans CJK SC"/>
        <family val="2"/>
      </rPr>
      <t xml:space="preserve">계산</t>
    </r>
  </si>
  <si>
    <t xml:space="preserve">D42</t>
  </si>
  <si>
    <t xml:space="preserve">proteinuria_dx</t>
  </si>
  <si>
    <r>
      <rPr>
        <sz val="10"/>
        <rFont val="Noto Sans CJK SC"/>
        <family val="2"/>
      </rPr>
      <t xml:space="preserve">단백뇨 진단을 받은 적이 있나요</t>
    </r>
    <r>
      <rPr>
        <sz val="10"/>
        <rFont val="Arial"/>
        <family val="0"/>
        <charset val="1"/>
      </rPr>
      <t xml:space="preserve">?</t>
    </r>
  </si>
  <si>
    <t xml:space="preserve">yes / no / unknown</t>
  </si>
  <si>
    <t xml:space="preserve">소변 스틱 퀘스트 우선순위</t>
  </si>
  <si>
    <t xml:space="preserve">D50</t>
  </si>
  <si>
    <t xml:space="preserve">disease=fatty_liver</t>
  </si>
  <si>
    <t xml:space="preserve">fatty_liver_type</t>
  </si>
  <si>
    <t xml:space="preserve">지방간 유형</t>
  </si>
  <si>
    <r>
      <rPr>
        <sz val="10"/>
        <rFont val="Arial"/>
        <family val="0"/>
        <charset val="1"/>
      </rPr>
      <t xml:space="preserve">nafld </t>
    </r>
    <r>
      <rPr>
        <sz val="10"/>
        <rFont val="Noto Sans CJK SC"/>
        <family val="2"/>
      </rPr>
      <t xml:space="preserve">비알코올성 </t>
    </r>
    <r>
      <rPr>
        <sz val="10"/>
        <rFont val="Arial"/>
        <family val="0"/>
        <charset val="1"/>
      </rPr>
      <t xml:space="preserve">/ alcoholic </t>
    </r>
    <r>
      <rPr>
        <sz val="10"/>
        <rFont val="Noto Sans CJK SC"/>
        <family val="2"/>
      </rPr>
      <t xml:space="preserve">알코올성 </t>
    </r>
    <r>
      <rPr>
        <sz val="10"/>
        <rFont val="Arial"/>
        <family val="0"/>
        <charset val="1"/>
      </rPr>
      <t xml:space="preserve">/ unknown </t>
    </r>
    <r>
      <rPr>
        <sz val="10"/>
        <rFont val="Noto Sans CJK SC"/>
        <family val="2"/>
      </rPr>
      <t xml:space="preserve">모름</t>
    </r>
  </si>
  <si>
    <t xml:space="preserve">알코올성이면 절주 퀘스트 우선</t>
  </si>
  <si>
    <t xml:space="preserve">D51</t>
  </si>
  <si>
    <t xml:space="preserve">liver_enzymes</t>
  </si>
  <si>
    <r>
      <rPr>
        <sz val="10"/>
        <rFont val="Noto Sans CJK SC"/>
        <family val="2"/>
      </rPr>
      <t xml:space="preserve">최근 검진의 </t>
    </r>
    <r>
      <rPr>
        <sz val="10"/>
        <rFont val="Arial"/>
        <family val="0"/>
        <charset val="1"/>
      </rPr>
      <t xml:space="preserve">AST / ALT </t>
    </r>
    <r>
      <rPr>
        <sz val="10"/>
        <rFont val="Noto Sans CJK SC"/>
        <family val="2"/>
      </rPr>
      <t xml:space="preserve">수치를 아시나요</t>
    </r>
    <r>
      <rPr>
        <sz val="10"/>
        <rFont val="Arial"/>
        <family val="0"/>
        <charset val="1"/>
      </rPr>
      <t xml:space="preserve">? (U/L)</t>
    </r>
  </si>
  <si>
    <t xml:space="preserve">AST 5~500 / ALT 5~500</t>
  </si>
  <si>
    <t xml:space="preserve">record_type=ast, alt</t>
  </si>
  <si>
    <r>
      <rPr>
        <sz val="10"/>
        <rFont val="Arial"/>
        <family val="0"/>
        <charset val="1"/>
      </rPr>
      <t xml:space="preserve">HSI </t>
    </r>
    <r>
      <rPr>
        <sz val="10"/>
        <rFont val="Noto Sans CJK SC"/>
        <family val="2"/>
      </rPr>
      <t xml:space="preserve">지수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지방간 근접도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</si>
  <si>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GGT</t>
    </r>
    <r>
      <rPr>
        <sz val="10"/>
        <rFont val="Noto Sans CJK SC"/>
        <family val="2"/>
      </rPr>
      <t xml:space="preserve">는 선택</t>
    </r>
  </si>
  <si>
    <t xml:space="preserve">D90</t>
  </si>
  <si>
    <t xml:space="preserve">answer:any_lab=entered</t>
  </si>
  <si>
    <t xml:space="preserve">lab_date</t>
  </si>
  <si>
    <r>
      <rPr>
        <sz val="10"/>
        <rFont val="Noto Sans CJK SC"/>
        <family val="2"/>
      </rPr>
      <t xml:space="preserve">위 검진은 언제 받으셨나요</t>
    </r>
    <r>
      <rPr>
        <sz val="10"/>
        <rFont val="Arial"/>
        <family val="0"/>
        <charset val="1"/>
      </rPr>
      <t xml:space="preserve">?</t>
    </r>
  </si>
  <si>
    <t xml:space="preserve">date</t>
  </si>
  <si>
    <r>
      <rPr>
        <sz val="10"/>
        <rFont val="Arial"/>
        <family val="0"/>
        <charset val="1"/>
      </rPr>
      <t xml:space="preserve">YYYY-MM (</t>
    </r>
    <r>
      <rPr>
        <sz val="10"/>
        <rFont val="Noto Sans CJK SC"/>
        <family val="2"/>
      </rPr>
      <t xml:space="preserve">최근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년 이내</t>
    </r>
    <r>
      <rPr>
        <sz val="10"/>
        <rFont val="Arial"/>
        <family val="0"/>
        <charset val="1"/>
      </rPr>
      <t xml:space="preserve">)</t>
    </r>
  </si>
  <si>
    <t xml:space="preserve">measured_at</t>
  </si>
  <si>
    <t xml:space="preserve">검진값 추이 기준일</t>
  </si>
  <si>
    <r>
      <rPr>
        <sz val="10"/>
        <rFont val="Arial"/>
        <family val="0"/>
        <charset val="1"/>
      </rPr>
      <t xml:space="preserve">D22·D31·D41·D51 </t>
    </r>
    <r>
      <rPr>
        <sz val="10"/>
        <rFont val="Noto Sans CJK SC"/>
        <family val="2"/>
      </rPr>
      <t xml:space="preserve">중 하나라도 입력 시 표시</t>
    </r>
  </si>
  <si>
    <t xml:space="preserve">E00</t>
  </si>
  <si>
    <t xml:space="preserve">3_device</t>
  </si>
  <si>
    <t xml:space="preserve">devices</t>
  </si>
  <si>
    <t xml:space="preserve">집에 있는 건강 측정기기를 모두 골라주세요</t>
  </si>
  <si>
    <r>
      <rPr>
        <sz val="10"/>
        <rFont val="Arial"/>
        <family val="0"/>
        <charset val="1"/>
      </rPr>
      <t xml:space="preserve">bp_monitor </t>
    </r>
    <r>
      <rPr>
        <sz val="10"/>
        <rFont val="Noto Sans CJK SC"/>
        <family val="2"/>
      </rPr>
      <t xml:space="preserve">혈압계 </t>
    </r>
    <r>
      <rPr>
        <sz val="10"/>
        <rFont val="Arial"/>
        <family val="0"/>
        <charset val="1"/>
      </rPr>
      <t xml:space="preserve">/ glucometer </t>
    </r>
    <r>
      <rPr>
        <sz val="10"/>
        <rFont val="Noto Sans CJK SC"/>
        <family val="2"/>
      </rPr>
      <t xml:space="preserve">혈당계 </t>
    </r>
    <r>
      <rPr>
        <sz val="10"/>
        <rFont val="Arial"/>
        <family val="0"/>
        <charset val="1"/>
      </rPr>
      <t xml:space="preserve">/ cgm </t>
    </r>
    <r>
      <rPr>
        <sz val="10"/>
        <rFont val="Noto Sans CJK SC"/>
        <family val="2"/>
      </rPr>
      <t xml:space="preserve">연속혈당측정기 </t>
    </r>
    <r>
      <rPr>
        <sz val="10"/>
        <rFont val="Arial"/>
        <family val="0"/>
        <charset val="1"/>
      </rPr>
      <t xml:space="preserve">/ scale </t>
    </r>
    <r>
      <rPr>
        <sz val="10"/>
        <rFont val="Noto Sans CJK SC"/>
        <family val="2"/>
      </rPr>
      <t xml:space="preserve">체중계 </t>
    </r>
    <r>
      <rPr>
        <sz val="10"/>
        <rFont val="Arial"/>
        <family val="0"/>
        <charset val="1"/>
      </rPr>
      <t xml:space="preserve">/ smart_scale </t>
    </r>
    <r>
      <rPr>
        <sz val="10"/>
        <rFont val="Noto Sans CJK SC"/>
        <family val="2"/>
      </rPr>
      <t xml:space="preserve">스마트 체중계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체지방</t>
    </r>
    <r>
      <rPr>
        <sz val="10"/>
        <rFont val="Arial"/>
        <family val="0"/>
        <charset val="1"/>
      </rPr>
      <t xml:space="preserve">) / tape </t>
    </r>
    <r>
      <rPr>
        <sz val="10"/>
        <rFont val="Noto Sans CJK SC"/>
        <family val="2"/>
      </rPr>
      <t xml:space="preserve">줄자 </t>
    </r>
    <r>
      <rPr>
        <sz val="10"/>
        <rFont val="Arial"/>
        <family val="0"/>
        <charset val="1"/>
      </rPr>
      <t xml:space="preserve">/ urine_strip </t>
    </r>
    <r>
      <rPr>
        <sz val="10"/>
        <rFont val="Noto Sans CJK SC"/>
        <family val="2"/>
      </rPr>
      <t xml:space="preserve">소변 검사 스틱 </t>
    </r>
    <r>
      <rPr>
        <sz val="10"/>
        <rFont val="Arial"/>
        <family val="0"/>
        <charset val="1"/>
      </rPr>
      <t xml:space="preserve">/ pulse_oximeter </t>
    </r>
    <r>
      <rPr>
        <sz val="10"/>
        <rFont val="Noto Sans CJK SC"/>
        <family val="2"/>
      </rPr>
      <t xml:space="preserve">산소포화도 측정기 </t>
    </r>
    <r>
      <rPr>
        <sz val="10"/>
        <rFont val="Arial"/>
        <family val="0"/>
        <charset val="1"/>
      </rPr>
      <t xml:space="preserve">/ none </t>
    </r>
    <r>
      <rPr>
        <sz val="10"/>
        <rFont val="Noto Sans CJK SC"/>
        <family val="2"/>
      </rPr>
      <t xml:space="preserve">없음</t>
    </r>
  </si>
  <si>
    <t xml:space="preserve">user_devices</t>
  </si>
  <si>
    <t xml:space="preserve">device_type</t>
  </si>
  <si>
    <r>
      <rPr>
        <sz val="10"/>
        <rFont val="Noto Sans CJK SC"/>
        <family val="2"/>
      </rPr>
      <t xml:space="preserve">기록형 퀘스트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근접도 카드 활성화</t>
    </r>
  </si>
  <si>
    <t xml:space="preserve">E01</t>
  </si>
  <si>
    <t xml:space="preserve">wearable</t>
  </si>
  <si>
    <r>
      <rPr>
        <sz val="10"/>
        <rFont val="Noto Sans CJK SC"/>
        <family val="2"/>
      </rPr>
      <t xml:space="preserve">스마트워치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밴드를 사용하나요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</si>
  <si>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galaxy_watch / apple_watch / other </t>
    </r>
    <r>
      <rPr>
        <sz val="10"/>
        <rFont val="Noto Sans CJK SC"/>
        <family val="2"/>
      </rPr>
      <t xml:space="preserve">기타 </t>
    </r>
    <r>
      <rPr>
        <sz val="10"/>
        <rFont val="Arial"/>
        <family val="0"/>
        <charset val="1"/>
      </rPr>
      <t xml:space="preserve">/ none </t>
    </r>
    <r>
      <rPr>
        <sz val="10"/>
        <rFont val="Noto Sans CJK SC"/>
        <family val="2"/>
      </rPr>
      <t xml:space="preserve">없음</t>
    </r>
  </si>
  <si>
    <t xml:space="preserve">wearable_type</t>
  </si>
  <si>
    <r>
      <rPr>
        <sz val="10"/>
        <rFont val="Noto Sans CJK SC"/>
        <family val="2"/>
      </rPr>
      <t xml:space="preserve">걷기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수면 퀘스트 검증 방식</t>
    </r>
  </si>
  <si>
    <t xml:space="preserve">E02</t>
  </si>
  <si>
    <t xml:space="preserve">!answer:E01=none</t>
  </si>
  <si>
    <t xml:space="preserve">use_phone_steps</t>
  </si>
  <si>
    <r>
      <rPr>
        <sz val="10"/>
        <rFont val="Noto Sans CJK SC"/>
        <family val="2"/>
      </rPr>
      <t xml:space="preserve">걸음 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수면을 워치나 폰에서 확인하나요</t>
    </r>
    <r>
      <rPr>
        <sz val="10"/>
        <rFont val="Arial"/>
        <family val="0"/>
        <charset val="1"/>
      </rPr>
      <t xml:space="preserve">?</t>
    </r>
  </si>
  <si>
    <r>
      <rPr>
        <sz val="10"/>
        <rFont val="Noto Sans CJK SC"/>
        <family val="2"/>
      </rPr>
      <t xml:space="preserve">걷기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수면 퀘스트를 수치 입력형으로 전환</t>
    </r>
  </si>
  <si>
    <r>
      <rPr>
        <sz val="10"/>
        <rFont val="Arial"/>
        <family val="0"/>
        <charset val="1"/>
      </rPr>
      <t xml:space="preserve">PWA</t>
    </r>
    <r>
      <rPr>
        <sz val="10"/>
        <rFont val="Noto Sans CJK SC"/>
        <family val="2"/>
      </rPr>
      <t xml:space="preserve">는 자동 수집 없음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수동 입력</t>
    </r>
    <r>
      <rPr>
        <sz val="10"/>
        <rFont val="Arial"/>
        <family val="0"/>
        <charset val="1"/>
      </rPr>
      <t xml:space="preserve">)</t>
    </r>
  </si>
  <si>
    <t xml:space="preserve">E10</t>
  </si>
  <si>
    <t xml:space="preserve">device=bp_monitor</t>
  </si>
  <si>
    <t xml:space="preserve">recent_bp</t>
  </si>
  <si>
    <r>
      <rPr>
        <sz val="10"/>
        <rFont val="Noto Sans CJK SC"/>
        <family val="2"/>
      </rPr>
      <t xml:space="preserve">최근에 잰 혈압을 알려주세요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수축기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이완기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</si>
  <si>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수축기 </t>
    </r>
    <r>
      <rPr>
        <sz val="10"/>
        <rFont val="Arial"/>
        <family val="0"/>
        <charset val="1"/>
      </rPr>
      <t xml:space="preserve">50~250 / </t>
    </r>
    <r>
      <rPr>
        <sz val="10"/>
        <rFont val="Noto Sans CJK SC"/>
        <family val="2"/>
      </rPr>
      <t xml:space="preserve">이완기 </t>
    </r>
    <r>
      <rPr>
        <sz val="10"/>
        <rFont val="Arial"/>
        <family val="0"/>
        <charset val="1"/>
      </rPr>
      <t xml:space="preserve">30~150 mmHg</t>
    </r>
  </si>
  <si>
    <t xml:space="preserve">record_type=blood_pressure (value, value2)</t>
  </si>
  <si>
    <r>
      <rPr>
        <sz val="10"/>
        <rFont val="Noto Sans CJK SC"/>
        <family val="2"/>
      </rPr>
      <t xml:space="preserve">고혈압 근접도 첫 값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상태 밴드</t>
    </r>
  </si>
  <si>
    <r>
      <rPr>
        <sz val="10"/>
        <rFont val="Noto Sans CJK SC"/>
        <family val="2"/>
      </rPr>
      <t xml:space="preserve">질환 없음이어도 표시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예방 모드 근접도</t>
    </r>
    <r>
      <rPr>
        <sz val="10"/>
        <rFont val="Arial"/>
        <family val="0"/>
        <charset val="1"/>
      </rPr>
      <t xml:space="preserve">)</t>
    </r>
  </si>
  <si>
    <t xml:space="preserve">E11</t>
  </si>
  <si>
    <t xml:space="preserve">bp_time_pref</t>
  </si>
  <si>
    <r>
      <rPr>
        <sz val="10"/>
        <rFont val="Noto Sans CJK SC"/>
        <family val="2"/>
      </rPr>
      <t xml:space="preserve">혈압은 보통 언제 재나요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</si>
  <si>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morning </t>
    </r>
    <r>
      <rPr>
        <sz val="10"/>
        <rFont val="Noto Sans CJK SC"/>
        <family val="2"/>
      </rPr>
      <t xml:space="preserve">아침 </t>
    </r>
    <r>
      <rPr>
        <sz val="10"/>
        <rFont val="Arial"/>
        <family val="0"/>
        <charset val="1"/>
      </rPr>
      <t xml:space="preserve">/ evening </t>
    </r>
    <r>
      <rPr>
        <sz val="10"/>
        <rFont val="Noto Sans CJK SC"/>
        <family val="2"/>
      </rPr>
      <t xml:space="preserve">저녁 </t>
    </r>
    <r>
      <rPr>
        <sz val="10"/>
        <rFont val="Arial"/>
        <family val="0"/>
        <charset val="1"/>
      </rPr>
      <t xml:space="preserve">/ both </t>
    </r>
    <r>
      <rPr>
        <sz val="10"/>
        <rFont val="Noto Sans CJK SC"/>
        <family val="2"/>
      </rPr>
      <t xml:space="preserve">둘 다</t>
    </r>
  </si>
  <si>
    <t xml:space="preserve">meta.time_pref</t>
  </si>
  <si>
    <r>
      <rPr>
        <sz val="10"/>
        <rFont val="Noto Sans CJK SC"/>
        <family val="2"/>
      </rPr>
      <t xml:space="preserve">혈압 기록 퀘스트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알림 시각</t>
    </r>
  </si>
  <si>
    <t xml:space="preserve">E20</t>
  </si>
  <si>
    <t xml:space="preserve">device=glucometer;!device=cgm</t>
  </si>
  <si>
    <t xml:space="preserve">recent_fasting_glucose</t>
  </si>
  <si>
    <r>
      <rPr>
        <sz val="10"/>
        <rFont val="Noto Sans CJK SC"/>
        <family val="2"/>
      </rPr>
      <t xml:space="preserve">최근 공복 혈당 </t>
    </r>
    <r>
      <rPr>
        <sz val="10"/>
        <rFont val="Arial"/>
        <family val="0"/>
        <charset val="1"/>
      </rPr>
      <t xml:space="preserve">(mg/dL)</t>
    </r>
  </si>
  <si>
    <t xml:space="preserve">30~600</t>
  </si>
  <si>
    <t xml:space="preserve">record_type=fasting_glucose</t>
  </si>
  <si>
    <r>
      <rPr>
        <sz val="10"/>
        <rFont val="Noto Sans CJK SC"/>
        <family val="2"/>
      </rPr>
      <t xml:space="preserve">당뇨 근접도 첫 값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밴드</t>
    </r>
  </si>
  <si>
    <t xml:space="preserve">E21</t>
  </si>
  <si>
    <t xml:space="preserve">measures_postprandial</t>
  </si>
  <si>
    <r>
      <rPr>
        <sz val="10"/>
        <rFont val="Noto Sans CJK SC"/>
        <family val="2"/>
      </rPr>
      <t xml:space="preserve">식후 혈당도 재나요</t>
    </r>
    <r>
      <rPr>
        <sz val="10"/>
        <rFont val="Arial"/>
        <family val="0"/>
        <charset val="1"/>
      </rPr>
      <t xml:space="preserve">?</t>
    </r>
  </si>
  <si>
    <t xml:space="preserve">meta.postprandial</t>
  </si>
  <si>
    <r>
      <rPr>
        <sz val="10"/>
        <rFont val="Noto Sans CJK SC"/>
        <family val="2"/>
      </rPr>
      <t xml:space="preserve">식후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시간 혈당 퀘스트 활성화</t>
    </r>
  </si>
  <si>
    <t xml:space="preserve">E25</t>
  </si>
  <si>
    <t xml:space="preserve">device=cgm</t>
  </si>
  <si>
    <t xml:space="preserve">cgm_summary</t>
  </si>
  <si>
    <r>
      <rPr>
        <sz val="10"/>
        <rFont val="Noto Sans CJK SC"/>
        <family val="2"/>
      </rPr>
      <t xml:space="preserve">최근 일평균 혈당</t>
    </r>
    <r>
      <rPr>
        <sz val="10"/>
        <rFont val="Arial"/>
        <family val="0"/>
        <charset val="1"/>
      </rPr>
      <t xml:space="preserve">(mg/dL) </t>
    </r>
    <r>
      <rPr>
        <sz val="10"/>
        <rFont val="Noto Sans CJK SC"/>
        <family val="2"/>
      </rPr>
      <t xml:space="preserve">또는 목표 범위 내 시간 </t>
    </r>
    <r>
      <rPr>
        <sz val="10"/>
        <rFont val="Arial"/>
        <family val="0"/>
        <charset val="1"/>
      </rPr>
      <t xml:space="preserve">TIR(%)</t>
    </r>
  </si>
  <si>
    <r>
      <rPr>
        <sz val="10"/>
        <rFont val="Noto Sans CJK SC"/>
        <family val="2"/>
      </rPr>
      <t xml:space="preserve">평균 </t>
    </r>
    <r>
      <rPr>
        <sz val="10"/>
        <rFont val="Arial"/>
        <family val="0"/>
        <charset val="1"/>
      </rPr>
      <t xml:space="preserve">30~600 / TIR 0~100 (</t>
    </r>
    <r>
      <rPr>
        <sz val="10"/>
        <rFont val="Noto Sans CJK SC"/>
        <family val="2"/>
      </rPr>
      <t xml:space="preserve">하나만</t>
    </r>
    <r>
      <rPr>
        <sz val="10"/>
        <rFont val="Arial"/>
        <family val="0"/>
        <charset val="1"/>
      </rPr>
      <t xml:space="preserve">)</t>
    </r>
  </si>
  <si>
    <t xml:space="preserve">record_type=glucose_cgm</t>
  </si>
  <si>
    <r>
      <rPr>
        <sz val="10"/>
        <rFont val="Noto Sans CJK SC"/>
        <family val="2"/>
      </rPr>
      <t xml:space="preserve">당뇨 근접도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혈당계 대체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</si>
  <si>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CGM </t>
    </r>
    <r>
      <rPr>
        <sz val="10"/>
        <rFont val="Noto Sans CJK SC"/>
        <family val="2"/>
      </rPr>
      <t xml:space="preserve">있으면 </t>
    </r>
    <r>
      <rPr>
        <sz val="10"/>
        <rFont val="Arial"/>
        <family val="0"/>
        <charset val="1"/>
      </rPr>
      <t xml:space="preserve">E20·E21 </t>
    </r>
    <r>
      <rPr>
        <sz val="10"/>
        <rFont val="Noto Sans CJK SC"/>
        <family val="2"/>
      </rPr>
      <t xml:space="preserve">숨김</t>
    </r>
  </si>
  <si>
    <t xml:space="preserve">E30</t>
  </si>
  <si>
    <t xml:space="preserve">device=smart_scale</t>
  </si>
  <si>
    <t xml:space="preserve">body_fat_pct</t>
  </si>
  <si>
    <r>
      <rPr>
        <sz val="10"/>
        <rFont val="Noto Sans CJK SC"/>
        <family val="2"/>
      </rPr>
      <t xml:space="preserve">체지방률을 아시나요</t>
    </r>
    <r>
      <rPr>
        <sz val="10"/>
        <rFont val="Arial"/>
        <family val="0"/>
        <charset val="1"/>
      </rPr>
      <t xml:space="preserve">? (%)</t>
    </r>
  </si>
  <si>
    <t xml:space="preserve">3~60</t>
  </si>
  <si>
    <t xml:space="preserve">record_type=body_fat</t>
  </si>
  <si>
    <t xml:space="preserve">비만 보조 지표</t>
  </si>
  <si>
    <r>
      <rPr>
        <sz val="10"/>
        <rFont val="Noto Sans CJK SC"/>
        <family val="2"/>
      </rPr>
      <t xml:space="preserve">일반 체중계는 추가 질문 없음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몸무게는 </t>
    </r>
    <r>
      <rPr>
        <sz val="10"/>
        <rFont val="Arial"/>
        <family val="0"/>
        <charset val="1"/>
      </rPr>
      <t xml:space="preserve">C05)</t>
    </r>
  </si>
  <si>
    <t xml:space="preserve">E40</t>
  </si>
  <si>
    <t xml:space="preserve">device=tape</t>
  </si>
  <si>
    <r>
      <rPr>
        <sz val="10"/>
        <rFont val="Noto Sans CJK SC"/>
        <family val="2"/>
      </rPr>
      <t xml:space="preserve">허리둘레 </t>
    </r>
    <r>
      <rPr>
        <sz val="10"/>
        <rFont val="Arial"/>
        <family val="0"/>
        <charset val="1"/>
      </rPr>
      <t xml:space="preserve">(cm, </t>
    </r>
    <r>
      <rPr>
        <sz val="10"/>
        <rFont val="Noto Sans CJK SC"/>
        <family val="2"/>
      </rPr>
      <t xml:space="preserve">배꼽 높이</t>
    </r>
    <r>
      <rPr>
        <sz val="10"/>
        <rFont val="Arial"/>
        <family val="0"/>
        <charset val="1"/>
      </rPr>
      <t xml:space="preserve">)</t>
    </r>
  </si>
  <si>
    <t xml:space="preserve">40~200</t>
  </si>
  <si>
    <t xml:space="preserve">health_profiles + health_records</t>
  </si>
  <si>
    <t xml:space="preserve">waist_cm / record_type=waist</t>
  </si>
  <si>
    <r>
      <rPr>
        <sz val="10"/>
        <rFont val="Arial"/>
        <family val="0"/>
        <charset val="1"/>
      </rPr>
      <t xml:space="preserve">waist_cm </t>
    </r>
    <r>
      <rPr>
        <sz val="10"/>
        <rFont val="Noto Sans CJK SC"/>
        <family val="2"/>
      </rPr>
      <t xml:space="preserve">피처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비만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대사증후군 근접도</t>
    </r>
  </si>
  <si>
    <t xml:space="preserve">E50</t>
  </si>
  <si>
    <t xml:space="preserve">device=urine_strip</t>
  </si>
  <si>
    <t xml:space="preserve">recent_urine_protein</t>
  </si>
  <si>
    <r>
      <rPr>
        <sz val="10"/>
        <rFont val="Noto Sans CJK SC"/>
        <family val="2"/>
      </rPr>
      <t xml:space="preserve">최근 소변 스틱 단백 결과가 있나요</t>
    </r>
    <r>
      <rPr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</si>
  <si>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음성 </t>
    </r>
    <r>
      <rPr>
        <sz val="10"/>
        <rFont val="Arial"/>
        <family val="0"/>
        <charset val="1"/>
      </rPr>
      <t xml:space="preserve">/ 1 ± / 2 1+ / 3 2+ / 4 3+ / unknown </t>
    </r>
    <r>
      <rPr>
        <sz val="10"/>
        <rFont val="Noto Sans CJK SC"/>
        <family val="2"/>
      </rPr>
      <t xml:space="preserve">없음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모름</t>
    </r>
  </si>
  <si>
    <t xml:space="preserve">없음</t>
  </si>
  <si>
    <t xml:space="preserve">record_type=urine_protein</t>
  </si>
  <si>
    <r>
      <rPr>
        <sz val="10"/>
        <rFont val="Arial"/>
        <family val="0"/>
        <charset val="1"/>
      </rPr>
      <t xml:space="preserve">CKD </t>
    </r>
    <r>
      <rPr>
        <sz val="10"/>
        <rFont val="Noto Sans CJK SC"/>
        <family val="2"/>
      </rPr>
      <t xml:space="preserve">보조 지표 첫 값</t>
    </r>
  </si>
  <si>
    <t xml:space="preserve">첫 아침 소변 권장 안내 포함</t>
  </si>
  <si>
    <t xml:space="preserve">E90</t>
  </si>
  <si>
    <t xml:space="preserve">disease=hypertension;!device=bp_monitor</t>
  </si>
  <si>
    <t xml:space="preserve">info_bp_device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</si>
  <si>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안내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고혈압 관리에는 가정 혈압 기록이 도움이 됩니다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혈압계가 생기면 마이페이지에서 등록해 주세요</t>
    </r>
    <r>
      <rPr>
        <sz val="10"/>
        <rFont val="Arial"/>
        <family val="0"/>
        <charset val="1"/>
      </rPr>
      <t xml:space="preserve">.</t>
    </r>
  </si>
  <si>
    <t xml:space="preserve">info</t>
  </si>
  <si>
    <r>
      <rPr>
        <sz val="10"/>
        <rFont val="Noto Sans CJK SC"/>
        <family val="2"/>
      </rPr>
      <t xml:space="preserve">기기 등록 안내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구매 유도 아님</t>
    </r>
    <r>
      <rPr>
        <sz val="10"/>
        <rFont val="Arial"/>
        <family val="0"/>
        <charset val="1"/>
      </rPr>
      <t xml:space="preserve">)</t>
    </r>
  </si>
  <si>
    <t xml:space="preserve">E91</t>
  </si>
  <si>
    <t xml:space="preserve">disease=diabetes;!device=glucometer;!device=cgm</t>
  </si>
  <si>
    <t xml:space="preserve">info_glucose_device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</si>
  <si>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안내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당뇨 관리에는 혈당 기록이 도움이 됩니다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혈당계가 생기면 마이페이지에서 등록해 주세요</t>
    </r>
    <r>
      <rPr>
        <sz val="10"/>
        <rFont val="Arial"/>
        <family val="0"/>
        <charset val="1"/>
      </rPr>
      <t xml:space="preserve">.</t>
    </r>
  </si>
  <si>
    <t xml:space="preserve">기기 등록 안내</t>
  </si>
  <si>
    <t xml:space="preserve">E92</t>
  </si>
  <si>
    <t xml:space="preserve">answer:E00=none</t>
  </si>
  <si>
    <t xml:space="preserve">info_no_device</t>
  </si>
  <si>
    <r>
      <rPr>
        <sz val="10"/>
        <rFont val="Arial"/>
        <family val="0"/>
        <charset val="1"/>
      </rPr>
      <t xml:space="preserve">[</t>
    </r>
    <r>
      <rPr>
        <sz val="10"/>
        <rFont val="Noto Sans CJK SC"/>
        <family val="2"/>
      </rPr>
      <t xml:space="preserve">안내</t>
    </r>
    <r>
      <rPr>
        <sz val="10"/>
        <rFont val="Arial"/>
        <family val="0"/>
        <charset val="1"/>
      </rPr>
      <t xml:space="preserve">] </t>
    </r>
    <r>
      <rPr>
        <sz val="10"/>
        <rFont val="Noto Sans CJK SC"/>
        <family val="2"/>
      </rPr>
      <t xml:space="preserve">기기가 없어도 체크형 퀘스트로 시작할 수 있어요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기기를 등록하면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질환 근접도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를 볼 수 있습니다</t>
    </r>
    <r>
      <rPr>
        <sz val="10"/>
        <rFont val="Arial"/>
        <family val="0"/>
        <charset val="1"/>
      </rPr>
      <t xml:space="preserve">.</t>
    </r>
  </si>
  <si>
    <t xml:space="preserve">예방 모드 안내</t>
  </si>
  <si>
    <t xml:space="preserve">F01</t>
  </si>
  <si>
    <t xml:space="preserve">4_character</t>
  </si>
  <si>
    <t xml:space="preserve">species</t>
  </si>
  <si>
    <t xml:space="preserve">함께할 공룡을 골라주세요</t>
  </si>
  <si>
    <t xml:space="preserve">trex / triceratops / velociraptor / stegosaurus / pteranodon / brachiosaurus</t>
  </si>
  <si>
    <t xml:space="preserve">characters</t>
  </si>
  <si>
    <t xml:space="preserve">캐릭터</t>
  </si>
  <si>
    <t xml:space="preserve">F02</t>
  </si>
  <si>
    <t xml:space="preserve">nickname</t>
  </si>
  <si>
    <t xml:space="preserve">닉네임</t>
  </si>
  <si>
    <t xml:space="preserve">text</t>
  </si>
  <si>
    <r>
      <rPr>
        <sz val="10"/>
        <rFont val="Arial"/>
        <family val="0"/>
        <charset val="1"/>
      </rPr>
      <t xml:space="preserve">2~12</t>
    </r>
    <r>
      <rPr>
        <sz val="10"/>
        <rFont val="Noto Sans CJK SC"/>
        <family val="2"/>
      </rPr>
      <t xml:space="preserve">자</t>
    </r>
  </si>
  <si>
    <t xml:space="preserve">계정 단계에서 받아도 됨</t>
  </si>
  <si>
    <t xml:space="preserve">시나리오</t>
  </si>
  <si>
    <t xml:space="preserve">진단 질환</t>
  </si>
  <si>
    <t xml:space="preserve">보유 기기</t>
  </si>
  <si>
    <t xml:space="preserve">워치</t>
  </si>
  <si>
    <r>
      <rPr>
        <b val="true"/>
        <sz val="10"/>
        <color rgb="FFFFFFFF"/>
        <rFont val="Noto Sans CJK SC"/>
        <family val="2"/>
      </rPr>
      <t xml:space="preserve">표시되는 질문 </t>
    </r>
    <r>
      <rPr>
        <b val="true"/>
        <sz val="10"/>
        <color rgb="FFFFFFFF"/>
        <rFont val="Arial"/>
        <family val="0"/>
        <charset val="1"/>
      </rPr>
      <t xml:space="preserve">ID</t>
    </r>
  </si>
  <si>
    <r>
      <rPr>
        <b val="true"/>
        <sz val="10"/>
        <color rgb="FFFFFFFF"/>
        <rFont val="Noto Sans CJK SC"/>
        <family val="2"/>
      </rPr>
      <t xml:space="preserve">화면 수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추정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</si>
  <si>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결과 모드</t>
  </si>
  <si>
    <t xml:space="preserve">켜지는 근접도 카드</t>
  </si>
  <si>
    <r>
      <rPr>
        <sz val="10"/>
        <rFont val="Arial"/>
        <family val="0"/>
        <charset val="1"/>
      </rPr>
      <t xml:space="preserve">A. </t>
    </r>
    <r>
      <rPr>
        <sz val="10"/>
        <rFont val="Noto Sans CJK SC"/>
        <family val="2"/>
      </rPr>
      <t xml:space="preserve">예방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기기 없음 </t>
    </r>
    <r>
      <rPr>
        <sz val="10"/>
        <rFont val="Arial"/>
        <family val="0"/>
        <charset val="1"/>
      </rPr>
      <t xml:space="preserve">(34</t>
    </r>
    <r>
      <rPr>
        <sz val="10"/>
        <rFont val="Noto Sans CJK SC"/>
        <family val="2"/>
      </rPr>
      <t xml:space="preserve">세 개발자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가족력</t>
    </r>
    <r>
      <rPr>
        <sz val="10"/>
        <rFont val="Arial"/>
        <family val="0"/>
        <charset val="1"/>
      </rPr>
      <t xml:space="preserve">)</t>
    </r>
  </si>
  <si>
    <t xml:space="preserve">none</t>
  </si>
  <si>
    <t xml:space="preserve">C01~C11, D00, E00, E01, E92, F01~F02</t>
  </si>
  <si>
    <t xml:space="preserve">3</t>
  </si>
  <si>
    <t xml:space="preserve">prevention</t>
  </si>
  <si>
    <r>
      <rPr>
        <sz val="10"/>
        <rFont val="Noto Sans CJK SC"/>
        <family val="2"/>
      </rPr>
      <t xml:space="preserve">없음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위험도만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</si>
  <si>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B. </t>
    </r>
    <r>
      <rPr>
        <sz val="10"/>
        <rFont val="Noto Sans CJK SC"/>
        <family val="2"/>
      </rPr>
      <t xml:space="preserve">전단계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혈압계만 </t>
    </r>
    <r>
      <rPr>
        <sz val="10"/>
        <rFont val="Arial"/>
        <family val="0"/>
        <charset val="1"/>
      </rPr>
      <t xml:space="preserve">(42</t>
    </r>
    <r>
      <rPr>
        <sz val="10"/>
        <rFont val="Noto Sans CJK SC"/>
        <family val="2"/>
      </rPr>
      <t xml:space="preserve">세 사무직</t>
    </r>
    <r>
      <rPr>
        <sz val="10"/>
        <rFont val="Arial"/>
        <family val="0"/>
        <charset val="1"/>
      </rPr>
      <t xml:space="preserve">)</t>
    </r>
  </si>
  <si>
    <t xml:space="preserve">bp_monitor</t>
  </si>
  <si>
    <t xml:space="preserve">galaxy_watch</t>
  </si>
  <si>
    <t xml:space="preserve">C01~C11, D00, E00, E01, E02, E10, E11, F01~F02</t>
  </si>
  <si>
    <t xml:space="preserve">4</t>
  </si>
  <si>
    <r>
      <rPr>
        <sz val="10"/>
        <rFont val="Arial"/>
        <family val="0"/>
        <charset val="1"/>
      </rPr>
      <t xml:space="preserve">C. </t>
    </r>
    <r>
      <rPr>
        <sz val="10"/>
        <rFont val="Noto Sans CJK SC"/>
        <family val="2"/>
      </rPr>
      <t xml:space="preserve">당뇨 진단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혈당계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체중계 </t>
    </r>
    <r>
      <rPr>
        <sz val="10"/>
        <rFont val="Arial"/>
        <family val="0"/>
        <charset val="1"/>
      </rPr>
      <t xml:space="preserve">(55</t>
    </r>
    <r>
      <rPr>
        <sz val="10"/>
        <rFont val="Noto Sans CJK SC"/>
        <family val="2"/>
      </rPr>
      <t xml:space="preserve">세 자영업</t>
    </r>
    <r>
      <rPr>
        <sz val="10"/>
        <rFont val="Arial"/>
        <family val="0"/>
        <charset val="1"/>
      </rPr>
      <t xml:space="preserve">)</t>
    </r>
  </si>
  <si>
    <t xml:space="preserve">diabetes</t>
  </si>
  <si>
    <t xml:space="preserve">glucometer, scale</t>
  </si>
  <si>
    <t xml:space="preserve">C01~C11, D00, D20, D21, D22, D90, E00, E01, E20, E21, F01~F02</t>
  </si>
  <si>
    <t xml:space="preserve">5</t>
  </si>
  <si>
    <t xml:space="preserve">management</t>
  </si>
  <si>
    <r>
      <rPr>
        <sz val="10"/>
        <rFont val="Noto Sans CJK SC"/>
        <family val="2"/>
      </rPr>
      <t xml:space="preserve">당뇨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비만</t>
    </r>
  </si>
  <si>
    <r>
      <rPr>
        <sz val="10"/>
        <rFont val="Arial"/>
        <family val="0"/>
        <charset val="1"/>
      </rPr>
      <t xml:space="preserve">D. </t>
    </r>
    <r>
      <rPr>
        <sz val="10"/>
        <rFont val="Noto Sans CJK SC"/>
        <family val="2"/>
      </rPr>
      <t xml:space="preserve">고혈압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당뇨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기기 풀세트</t>
    </r>
  </si>
  <si>
    <t xml:space="preserve">hypertension, diabetes</t>
  </si>
  <si>
    <t xml:space="preserve">bp_monitor, glucometer, smart_scale, tape</t>
  </si>
  <si>
    <t xml:space="preserve">apple_watch</t>
  </si>
  <si>
    <t xml:space="preserve">C01~C11, D00, D10, D11, D20~D22, D90, E00~E02, E10, E11, E20, E21, E30, E40, F01~F02</t>
  </si>
  <si>
    <t xml:space="preserve">6</t>
  </si>
  <si>
    <r>
      <rPr>
        <sz val="10"/>
        <rFont val="Noto Sans CJK SC"/>
        <family val="2"/>
      </rPr>
      <t xml:space="preserve">고혈압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당뇨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비만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대사증후군</t>
    </r>
    <r>
      <rPr>
        <sz val="10"/>
        <rFont val="Arial"/>
        <family val="0"/>
        <charset val="1"/>
      </rPr>
      <t xml:space="preserve">(TG·HDL </t>
    </r>
    <r>
      <rPr>
        <sz val="10"/>
        <rFont val="Noto Sans CJK SC"/>
        <family val="2"/>
      </rPr>
      <t xml:space="preserve">없으면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기준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</si>
  <si>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E. </t>
    </r>
    <r>
      <rPr>
        <sz val="10"/>
        <rFont val="Noto Sans CJK SC"/>
        <family val="2"/>
      </rPr>
      <t xml:space="preserve">고혈압 진단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혈압계 없음</t>
    </r>
  </si>
  <si>
    <t xml:space="preserve">hypertension</t>
  </si>
  <si>
    <t xml:space="preserve">C01~C11, D00, D10, D11, E00, E01, E90, E92, F01~F02</t>
  </si>
  <si>
    <r>
      <rPr>
        <sz val="10"/>
        <rFont val="Noto Sans CJK SC"/>
        <family val="2"/>
      </rPr>
      <t xml:space="preserve">없음 → 안내 카드 </t>
    </r>
    <r>
      <rPr>
        <sz val="10"/>
        <rFont val="Arial"/>
        <family val="0"/>
        <charset val="1"/>
      </rPr>
      <t xml:space="preserve">E90</t>
    </r>
  </si>
  <si>
    <r>
      <rPr>
        <sz val="10"/>
        <rFont val="Arial"/>
        <family val="0"/>
        <charset val="1"/>
      </rPr>
      <t xml:space="preserve">F. CKD+</t>
    </r>
    <r>
      <rPr>
        <sz val="10"/>
        <rFont val="Noto Sans CJK SC"/>
        <family val="2"/>
      </rPr>
      <t xml:space="preserve">당뇨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소변스틱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혈당계</t>
    </r>
  </si>
  <si>
    <t xml:space="preserve">ckd, diabetes</t>
  </si>
  <si>
    <t xml:space="preserve">urine_strip, glucometer</t>
  </si>
  <si>
    <t xml:space="preserve">C01~C11, D00, D20~D22, D40~D42, D90, E00, E01, E20, E21, E50, F01~F02</t>
  </si>
  <si>
    <r>
      <rPr>
        <sz val="10"/>
        <rFont val="Noto Sans CJK SC"/>
        <family val="2"/>
      </rPr>
      <t xml:space="preserve">당뇨</t>
    </r>
    <r>
      <rPr>
        <sz val="10"/>
        <rFont val="Arial"/>
        <family val="0"/>
        <charset val="1"/>
      </rPr>
      <t xml:space="preserve">, CKD(</t>
    </r>
    <r>
      <rPr>
        <sz val="10"/>
        <rFont val="Noto Sans CJK SC"/>
        <family val="2"/>
      </rPr>
      <t xml:space="preserve">단백뇨</t>
    </r>
    <r>
      <rPr>
        <sz val="10"/>
        <rFont val="Arial"/>
        <family val="0"/>
        <charset val="1"/>
      </rPr>
      <t xml:space="preserve">). ckd_stage≥3</t>
    </r>
    <r>
      <rPr>
        <sz val="10"/>
        <rFont val="Noto Sans CJK SC"/>
        <family val="2"/>
      </rPr>
      <t xml:space="preserve">이면 단백질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칼륨 퀘스트 제외</t>
    </r>
  </si>
  <si>
    <t xml:space="preserve">테이블</t>
  </si>
  <si>
    <t xml:space="preserve">컬럼</t>
  </si>
  <si>
    <t xml:space="preserve">출처 질문</t>
  </si>
  <si>
    <t xml:space="preserve">timestamptz</t>
  </si>
  <si>
    <t xml:space="preserve">varchar(12)</t>
  </si>
  <si>
    <t xml:space="preserve">enum(galaxy_watch, apple_watch, other, none)</t>
  </si>
  <si>
    <t xml:space="preserve">user_mode</t>
  </si>
  <si>
    <t xml:space="preserve">enum(prevention, management)</t>
  </si>
  <si>
    <r>
      <rPr>
        <sz val="10"/>
        <rFont val="Arial"/>
        <family val="0"/>
        <charset val="1"/>
      </rPr>
      <t xml:space="preserve">D00</t>
    </r>
    <r>
      <rPr>
        <sz val="10"/>
        <rFont val="Noto Sans CJK SC"/>
        <family val="2"/>
      </rPr>
      <t xml:space="preserve">에서 계산</t>
    </r>
  </si>
  <si>
    <r>
      <rPr>
        <sz val="10"/>
        <rFont val="Arial"/>
        <family val="0"/>
        <charset val="1"/>
      </rPr>
      <t xml:space="preserve">hypertension </t>
    </r>
    <r>
      <rPr>
        <sz val="10"/>
        <rFont val="Noto Sans CJK SC"/>
        <family val="2"/>
      </rPr>
      <t xml:space="preserve">또는 </t>
    </r>
    <r>
      <rPr>
        <sz val="10"/>
        <rFont val="Arial"/>
        <family val="0"/>
        <charset val="1"/>
      </rPr>
      <t xml:space="preserve">diabetes </t>
    </r>
    <r>
      <rPr>
        <sz val="10"/>
        <rFont val="Noto Sans CJK SC"/>
        <family val="2"/>
      </rPr>
      <t xml:space="preserve">포함 시 </t>
    </r>
    <r>
      <rPr>
        <sz val="10"/>
        <rFont val="Arial"/>
        <family val="0"/>
        <charset val="1"/>
      </rPr>
      <t xml:space="preserve">management</t>
    </r>
  </si>
  <si>
    <t xml:space="preserve">birth_year, sex, height_cm, weight_kg</t>
  </si>
  <si>
    <t xml:space="preserve">int, enum, numeric, numeric</t>
  </si>
  <si>
    <t xml:space="preserve">C02~C05</t>
  </si>
  <si>
    <r>
      <rPr>
        <sz val="10"/>
        <rFont val="Arial"/>
        <family val="0"/>
        <charset val="1"/>
      </rPr>
      <t xml:space="preserve">bmi</t>
    </r>
    <r>
      <rPr>
        <sz val="10"/>
        <rFont val="Noto Sans CJK SC"/>
        <family val="2"/>
      </rPr>
      <t xml:space="preserve">는 계산 컬럼 또는 서비스 계층</t>
    </r>
  </si>
  <si>
    <t xml:space="preserve">smoking, alcohol_freq, exercise_freq, sleep_hours</t>
  </si>
  <si>
    <t xml:space="preserve">smallint ×3, numeric</t>
  </si>
  <si>
    <t xml:space="preserve">C06~C09</t>
  </si>
  <si>
    <r>
      <rPr>
        <sz val="10"/>
        <rFont val="Arial"/>
        <family val="0"/>
        <charset val="1"/>
      </rPr>
      <t xml:space="preserve">KNHANES </t>
    </r>
    <r>
      <rPr>
        <sz val="10"/>
        <rFont val="Noto Sans CJK SC"/>
        <family val="2"/>
      </rPr>
      <t xml:space="preserve">코딩 기준</t>
    </r>
  </si>
  <si>
    <r>
      <rPr>
        <sz val="10"/>
        <rFont val="Arial"/>
        <family val="0"/>
        <charset val="1"/>
      </rPr>
      <t xml:space="preserve">text[] </t>
    </r>
    <r>
      <rPr>
        <sz val="10"/>
        <rFont val="Noto Sans CJK SC"/>
        <family val="2"/>
      </rPr>
      <t xml:space="preserve">또는 </t>
    </r>
    <r>
      <rPr>
        <sz val="10"/>
        <rFont val="Arial"/>
        <family val="0"/>
        <charset val="1"/>
      </rPr>
      <t xml:space="preserve">fh_htn/fh_dm/fh_heart/fh_kidney bool</t>
    </r>
  </si>
  <si>
    <r>
      <rPr>
        <sz val="10"/>
        <rFont val="Noto Sans CJK SC"/>
        <family val="2"/>
      </rPr>
      <t xml:space="preserve">쿼리 편의상 </t>
    </r>
    <r>
      <rPr>
        <sz val="10"/>
        <rFont val="Arial"/>
        <family val="0"/>
        <charset val="1"/>
      </rPr>
      <t xml:space="preserve">bool 4</t>
    </r>
    <r>
      <rPr>
        <sz val="10"/>
        <rFont val="Noto Sans CJK SC"/>
        <family val="2"/>
      </rPr>
      <t xml:space="preserve">개 권장</t>
    </r>
  </si>
  <si>
    <t xml:space="preserve">enum(yes, no, unknown)</t>
  </si>
  <si>
    <t xml:space="preserve">htn_medication, target_sbp, target_dbp</t>
  </si>
  <si>
    <t xml:space="preserve">bool, smallint, smallint</t>
  </si>
  <si>
    <t xml:space="preserve">D10, D11</t>
  </si>
  <si>
    <r>
      <rPr>
        <sz val="10"/>
        <rFont val="Arial"/>
        <family val="0"/>
        <charset val="1"/>
      </rPr>
      <t xml:space="preserve">target </t>
    </r>
    <r>
      <rPr>
        <sz val="10"/>
        <rFont val="Noto Sans CJK SC"/>
        <family val="2"/>
      </rPr>
      <t xml:space="preserve">기본 </t>
    </r>
    <r>
      <rPr>
        <sz val="10"/>
        <rFont val="Arial"/>
        <family val="0"/>
        <charset val="1"/>
      </rPr>
      <t xml:space="preserve">130/80</t>
    </r>
  </si>
  <si>
    <t xml:space="preserve">dm_type, dm_medication</t>
  </si>
  <si>
    <t xml:space="preserve">enum, enum</t>
  </si>
  <si>
    <t xml:space="preserve">D20, D21</t>
  </si>
  <si>
    <t xml:space="preserve">ckd_stage, proteinuria_dx</t>
  </si>
  <si>
    <t xml:space="preserve">smallint(1~5, null), enum</t>
  </si>
  <si>
    <t xml:space="preserve">D40, D42</t>
  </si>
  <si>
    <r>
      <rPr>
        <sz val="10"/>
        <rFont val="Arial"/>
        <family val="0"/>
        <charset val="1"/>
      </rPr>
      <t xml:space="preserve">stage≥3 → </t>
    </r>
    <r>
      <rPr>
        <sz val="10"/>
        <rFont val="Noto Sans CJK SC"/>
        <family val="2"/>
      </rPr>
      <t xml:space="preserve">퀘스트 제외 규칙</t>
    </r>
  </si>
  <si>
    <t xml:space="preserve">enum(nafld, alcoholic, unknown)</t>
  </si>
  <si>
    <t xml:space="preserve">numeric</t>
  </si>
  <si>
    <r>
      <rPr>
        <sz val="10"/>
        <rFont val="Arial"/>
        <family val="0"/>
        <charset val="1"/>
      </rPr>
      <t xml:space="preserve">health_records</t>
    </r>
    <r>
      <rPr>
        <sz val="10"/>
        <rFont val="Noto Sans CJK SC"/>
        <family val="2"/>
      </rPr>
      <t xml:space="preserve">에도 저장</t>
    </r>
  </si>
  <si>
    <t xml:space="preserve">user_id, condition</t>
  </si>
  <si>
    <t xml:space="preserve">FK, enum(hypertension, diabetes, dyslipidemia, ckd, fatty_liver)</t>
  </si>
  <si>
    <r>
      <rPr>
        <sz val="10"/>
        <rFont val="Arial"/>
        <family val="0"/>
        <charset val="1"/>
      </rPr>
      <t xml:space="preserve">N:M, none</t>
    </r>
    <r>
      <rPr>
        <sz val="10"/>
        <rFont val="Noto Sans CJK SC"/>
        <family val="2"/>
      </rPr>
      <t xml:space="preserve">은 행 없음</t>
    </r>
  </si>
  <si>
    <t xml:space="preserve">user_id, device_type, meta</t>
  </si>
  <si>
    <t xml:space="preserve">FK, enum, jsonb</t>
  </si>
  <si>
    <t xml:space="preserve">E00, E11, E21</t>
  </si>
  <si>
    <t xml:space="preserve">meta: time_pref, postprandial</t>
  </si>
  <si>
    <t xml:space="preserve">user_id, record_type, value, value2, unit, source, measured_at</t>
  </si>
  <si>
    <t xml:space="preserve">FK, enum, numeric, numeric, varchar, enum(manual, health_connect), timestamptz</t>
  </si>
  <si>
    <t xml:space="preserve">C05, D22, D31, D41, D51, E10, E20, E25, E30, E40, E50</t>
  </si>
  <si>
    <r>
      <rPr>
        <sz val="10"/>
        <rFont val="Noto Sans CJK SC"/>
        <family val="2"/>
      </rPr>
      <t xml:space="preserve">혈압은 </t>
    </r>
    <r>
      <rPr>
        <sz val="10"/>
        <rFont val="Arial"/>
        <family val="0"/>
        <charset val="1"/>
      </rPr>
      <t xml:space="preserve">value=</t>
    </r>
    <r>
      <rPr>
        <sz val="10"/>
        <rFont val="Noto Sans CJK SC"/>
        <family val="2"/>
      </rPr>
      <t xml:space="preserve">수축기</t>
    </r>
    <r>
      <rPr>
        <sz val="10"/>
        <rFont val="Arial"/>
        <family val="0"/>
        <charset val="1"/>
      </rPr>
      <t xml:space="preserve">, value2=</t>
    </r>
    <r>
      <rPr>
        <sz val="10"/>
        <rFont val="Noto Sans CJK SC"/>
        <family val="2"/>
      </rPr>
      <t xml:space="preserve">이완기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검진값은 </t>
    </r>
    <r>
      <rPr>
        <sz val="10"/>
        <rFont val="Arial"/>
        <family val="0"/>
        <charset val="1"/>
      </rPr>
      <t xml:space="preserve">measured_at=D90</t>
    </r>
  </si>
  <si>
    <t xml:space="preserve">user_id, species</t>
  </si>
  <si>
    <r>
      <rPr>
        <sz val="10"/>
        <rFont val="Arial"/>
        <family val="0"/>
        <charset val="1"/>
      </rPr>
      <t xml:space="preserve">FK, enum(6</t>
    </r>
    <r>
      <rPr>
        <sz val="10"/>
        <rFont val="Noto Sans CJK SC"/>
        <family val="2"/>
      </rPr>
      <t xml:space="preserve">종</t>
    </r>
    <r>
      <rPr>
        <sz val="10"/>
        <rFont val="Arial"/>
        <family val="0"/>
        <charset val="1"/>
      </rPr>
      <t xml:space="preserve">)</t>
    </r>
  </si>
  <si>
    <t xml:space="preserve">predictions</t>
  </si>
  <si>
    <t xml:space="preserve">user_id, disease, score_date, proximity_pct, risk_score, health_score, score_basis, model_version</t>
  </si>
  <si>
    <t xml:space="preserve">FK, enum, date, numeric, numeric, numeric, enum(measured, exceeded, estimated), varchar</t>
  </si>
  <si>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번 시트 합산 결과</t>
    </r>
  </si>
  <si>
    <r>
      <rPr>
        <sz val="10"/>
        <rFont val="Noto Sans CJK SC"/>
        <family val="2"/>
      </rPr>
      <t xml:space="preserve">일별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행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대시보드는 여기서만 읽음</t>
    </r>
    <r>
      <rPr>
        <sz val="10"/>
        <rFont val="Arial"/>
        <family val="0"/>
        <charset val="1"/>
      </rPr>
      <t xml:space="preserve">(N+1 </t>
    </r>
    <r>
      <rPr>
        <sz val="10"/>
        <rFont val="Noto Sans CJK SC"/>
        <family val="2"/>
      </rPr>
      <t xml:space="preserve">방지</t>
    </r>
    <r>
      <rPr>
        <sz val="10"/>
        <rFont val="Arial"/>
        <family val="0"/>
        <charset val="1"/>
      </rPr>
      <t xml:space="preserve">)</t>
    </r>
  </si>
  <si>
    <t xml:space="preserve">daily_lifestyle_scores</t>
  </si>
  <si>
    <t xml:space="preserve">user_id, score_date, ls_activity, ls_diet, ls_sleep, ls_record</t>
  </si>
  <si>
    <t xml:space="preserve">FK, date, numeric×4</t>
  </si>
  <si>
    <t xml:space="preserve">퀘스트 완료 기록에서 자정 계산</t>
  </si>
  <si>
    <t xml:space="preserve">위험도 모델 입력</t>
  </si>
  <si>
    <t xml:space="preserve">prediction_feedbacks / quest_feedbacks</t>
  </si>
  <si>
    <t xml:space="preserve">user_id, prediction_id | quest_id, feedback, created_at</t>
  </si>
  <si>
    <t xml:space="preserve">FK, FK, enum, timestamptz</t>
  </si>
  <si>
    <r>
      <rPr>
        <sz val="10"/>
        <rFont val="Noto Sans CJK SC"/>
        <family val="2"/>
      </rPr>
      <t xml:space="preserve">홈 카드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퀘스트 버튼</t>
    </r>
  </si>
  <si>
    <r>
      <rPr>
        <sz val="10"/>
        <rFont val="Noto Sans CJK SC"/>
        <family val="2"/>
      </rPr>
      <t xml:space="preserve">평가 </t>
    </r>
    <r>
      <rPr>
        <sz val="10"/>
        <rFont val="Arial"/>
        <family val="0"/>
        <charset val="1"/>
      </rPr>
      <t xml:space="preserve">3-4</t>
    </r>
  </si>
  <si>
    <r>
      <rPr>
        <sz val="10"/>
        <rFont val="Arial"/>
        <family val="0"/>
        <charset val="1"/>
      </rPr>
      <t xml:space="preserve">onboarding_questions (</t>
    </r>
    <r>
      <rPr>
        <sz val="10"/>
        <rFont val="Noto Sans CJK SC"/>
        <family val="2"/>
      </rPr>
      <t xml:space="preserve">시드</t>
    </r>
    <r>
      <rPr>
        <sz val="10"/>
        <rFont val="Arial"/>
        <family val="0"/>
        <charset val="1"/>
      </rPr>
      <t xml:space="preserve">)</t>
    </r>
  </si>
  <si>
    <t xml:space="preserve">question_id, section, order, condition, field, question_text, input_type, options(jsonb), required, skip_label, store_table, store_column</t>
  </si>
  <si>
    <r>
      <rPr>
        <sz val="10"/>
        <rFont val="Arial"/>
        <family val="0"/>
        <charset val="1"/>
      </rPr>
      <t xml:space="preserve">questions </t>
    </r>
    <r>
      <rPr>
        <sz val="10"/>
        <rFont val="Noto Sans CJK SC"/>
        <family val="2"/>
      </rPr>
      <t xml:space="preserve">시트 전체</t>
    </r>
  </si>
  <si>
    <r>
      <rPr>
        <sz val="10"/>
        <rFont val="Noto Sans CJK SC"/>
        <family val="2"/>
      </rPr>
      <t xml:space="preserve">프론트는 </t>
    </r>
    <r>
      <rPr>
        <sz val="10"/>
        <rFont val="Arial"/>
        <family val="0"/>
        <charset val="1"/>
      </rPr>
      <t xml:space="preserve">GET /api/v1/onboarding/questions </t>
    </r>
    <r>
      <rPr>
        <sz val="10"/>
        <rFont val="Noto Sans CJK SC"/>
        <family val="2"/>
      </rPr>
      <t xml:space="preserve">로 받아 </t>
    </r>
    <r>
      <rPr>
        <sz val="10"/>
        <rFont val="Arial"/>
        <family val="0"/>
        <charset val="1"/>
      </rPr>
      <t xml:space="preserve">condition </t>
    </r>
    <r>
      <rPr>
        <sz val="10"/>
        <rFont val="Noto Sans CJK SC"/>
        <family val="2"/>
      </rPr>
      <t xml:space="preserve">평가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</si>
</sst>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6"/>
      <name val="Noto Sans CJK SC"/>
      <family val="2"/>
    </font>
    <font>
      <b val="true"/>
      <sz val="10"/>
      <name val="Noto Sans CJK SC"/>
      <family val="2"/>
    </font>
    <font>
      <sz val="10"/>
      <name val="Noto Sans CJK SC"/>
      <family val="2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sz val="11"/>
      <color theme="1"/>
      <name val="Noto Sans CJK SC"/>
      <family val="2"/>
    </font>
  </fonts>
  <fills count="8">
    <fill>
      <patternFill patternType="none"/>
    </fill>
    <fill>
      <patternFill patternType="gray125"/>
    </fill>
    <fill>
      <patternFill patternType="solid">
        <fgColor rgb="FFC6E0B4"/>
        <bgColor rgb="FFE2EFDA"/>
      </patternFill>
    </fill>
    <fill>
      <patternFill patternType="solid">
        <fgColor rgb="FF1F3864"/>
        <bgColor rgb="FF333333"/>
      </patternFill>
    </fill>
    <fill>
      <patternFill patternType="solid">
        <fgColor rgb="FFFFF2CC"/>
        <bgColor rgb="FFE2EFDA"/>
      </patternFill>
    </fill>
    <fill>
      <patternFill patternType="solid">
        <fgColor rgb="FFF8CBAD"/>
        <bgColor rgb="FFFFF2CC"/>
      </patternFill>
    </fill>
    <fill>
      <patternFill patternType="solid">
        <fgColor rgb="FFDDEBF7"/>
        <bgColor rgb="FFE2EFDA"/>
      </patternFill>
    </fill>
    <fill>
      <patternFill patternType="solid">
        <fgColor rgb="FFE2EFDA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E2EFDA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6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0"/>
  </cols>
  <sheetData>
    <row r="1" customFormat="false" ht="23.8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3" t="s">
        <v>2</v>
      </c>
    </row>
    <row r="3" customFormat="false" ht="15" hidden="false" customHeight="false" outlineLevel="0" collapsed="false">
      <c r="A3" s="2" t="s">
        <v>3</v>
      </c>
      <c r="B3" s="4" t="s">
        <v>4</v>
      </c>
    </row>
    <row r="4" customFormat="false" ht="15" hidden="false" customHeight="false" outlineLevel="0" collapsed="false">
      <c r="A4" s="2" t="s">
        <v>5</v>
      </c>
      <c r="B4" s="4" t="s">
        <v>6</v>
      </c>
    </row>
    <row r="5" customFormat="false" ht="15" hidden="false" customHeight="false" outlineLevel="0" collapsed="false">
      <c r="A5" s="2" t="s">
        <v>7</v>
      </c>
      <c r="B5" s="3" t="s">
        <v>8</v>
      </c>
    </row>
    <row r="6" customFormat="false" ht="15" hidden="false" customHeight="false" outlineLevel="0" collapsed="false">
      <c r="A6" s="2"/>
      <c r="B6" s="3"/>
    </row>
    <row r="7" customFormat="false" ht="15" hidden="false" customHeight="false" outlineLevel="0" collapsed="false">
      <c r="A7" s="2" t="s">
        <v>9</v>
      </c>
      <c r="B7" s="3"/>
    </row>
    <row r="8" customFormat="false" ht="15" hidden="false" customHeight="false" outlineLevel="0" collapsed="false">
      <c r="A8" s="5" t="s">
        <v>10</v>
      </c>
      <c r="B8" s="3" t="s">
        <v>11</v>
      </c>
    </row>
    <row r="9" customFormat="false" ht="15" hidden="false" customHeight="false" outlineLevel="0" collapsed="false">
      <c r="A9" s="5" t="s">
        <v>12</v>
      </c>
      <c r="B9" s="3" t="s">
        <v>13</v>
      </c>
    </row>
    <row r="10" customFormat="false" ht="15" hidden="false" customHeight="false" outlineLevel="0" collapsed="false">
      <c r="A10" s="5" t="s">
        <v>14</v>
      </c>
      <c r="B10" s="3" t="s">
        <v>15</v>
      </c>
    </row>
    <row r="11" customFormat="false" ht="15" hidden="false" customHeight="false" outlineLevel="0" collapsed="false">
      <c r="A11" s="5" t="s">
        <v>16</v>
      </c>
      <c r="B11" s="3" t="s">
        <v>17</v>
      </c>
    </row>
    <row r="12" customFormat="false" ht="15" hidden="false" customHeight="false" outlineLevel="0" collapsed="false">
      <c r="A12" s="5" t="s">
        <v>18</v>
      </c>
      <c r="B12" s="3" t="s">
        <v>19</v>
      </c>
    </row>
    <row r="13" customFormat="false" ht="15" hidden="false" customHeight="false" outlineLevel="0" collapsed="false">
      <c r="A13" s="5" t="s">
        <v>20</v>
      </c>
      <c r="B13" s="3" t="s">
        <v>21</v>
      </c>
    </row>
    <row r="14" customFormat="false" ht="15" hidden="false" customHeight="false" outlineLevel="0" collapsed="false">
      <c r="A14" s="5" t="s">
        <v>22</v>
      </c>
      <c r="B14" s="3" t="s">
        <v>23</v>
      </c>
    </row>
    <row r="15" customFormat="false" ht="15" hidden="false" customHeight="false" outlineLevel="0" collapsed="false">
      <c r="A15" s="6" t="s">
        <v>24</v>
      </c>
      <c r="B15" s="3" t="s">
        <v>25</v>
      </c>
    </row>
    <row r="16" customFormat="false" ht="15" hidden="false" customHeight="false" outlineLevel="0" collapsed="false">
      <c r="A16" s="5" t="s">
        <v>26</v>
      </c>
      <c r="B16" s="3" t="s">
        <v>27</v>
      </c>
    </row>
    <row r="17" customFormat="false" ht="15" hidden="false" customHeight="false" outlineLevel="0" collapsed="false">
      <c r="A17" s="5" t="s">
        <v>28</v>
      </c>
      <c r="B17" s="3" t="s">
        <v>29</v>
      </c>
    </row>
    <row r="18" customFormat="false" ht="15" hidden="false" customHeight="false" outlineLevel="0" collapsed="false">
      <c r="A18" s="2"/>
      <c r="B18" s="3"/>
    </row>
    <row r="19" customFormat="false" ht="29.85" hidden="false" customHeight="false" outlineLevel="0" collapsed="false">
      <c r="A19" s="2" t="s">
        <v>30</v>
      </c>
      <c r="B19" s="3" t="s">
        <v>31</v>
      </c>
    </row>
    <row r="20" customFormat="false" ht="15" hidden="false" customHeight="false" outlineLevel="0" collapsed="false">
      <c r="A20" s="2" t="s">
        <v>32</v>
      </c>
      <c r="B20" s="3" t="s">
        <v>33</v>
      </c>
    </row>
    <row r="21" customFormat="false" ht="15" hidden="false" customHeight="false" outlineLevel="0" collapsed="false">
      <c r="A21" s="2"/>
      <c r="B21" s="3"/>
    </row>
    <row r="22" customFormat="false" ht="15" hidden="false" customHeight="false" outlineLevel="0" collapsed="false">
      <c r="A22" s="2" t="s">
        <v>34</v>
      </c>
      <c r="B22" s="3"/>
    </row>
    <row r="23" customFormat="false" ht="15" hidden="false" customHeight="false" outlineLevel="0" collapsed="false">
      <c r="A23" s="2" t="s">
        <v>35</v>
      </c>
      <c r="B23" s="3" t="n">
        <f aca="false">COUNTA('1. 공통 피처'!A:A)-1</f>
        <v>17</v>
      </c>
    </row>
    <row r="24" customFormat="false" ht="15" hidden="false" customHeight="false" outlineLevel="0" collapsed="false">
      <c r="A24" s="2" t="s">
        <v>36</v>
      </c>
      <c r="B24" s="3" t="n">
        <f aca="false">COUNTA('2. 질환별 피처'!A:A)-1</f>
        <v>73</v>
      </c>
    </row>
    <row r="25" customFormat="false" ht="15" hidden="false" customHeight="false" outlineLevel="0" collapsed="false">
      <c r="A25" s="2" t="s">
        <v>37</v>
      </c>
      <c r="B25" s="3" t="n">
        <f aca="false">COUNTIF('2. 질환별 피처'!C:C,"모델 피처")</f>
        <v>28</v>
      </c>
    </row>
    <row r="26" customFormat="false" ht="15" hidden="false" customHeight="false" outlineLevel="0" collapsed="false">
      <c r="A26" s="2" t="s">
        <v>38</v>
      </c>
      <c r="B26" s="3" t="n">
        <f aca="false">COUNTIF('2. 질환별 피처'!C:C,"라벨 정의(피처 제외)")</f>
        <v>7</v>
      </c>
    </row>
    <row r="27" customFormat="false" ht="15" hidden="false" customHeight="false" outlineLevel="0" collapsed="false">
      <c r="A27" s="2" t="s">
        <v>39</v>
      </c>
      <c r="B27" s="3" t="n">
        <f aca="false">COUNTA('8. 온보딩 질문'!A:A)-1</f>
        <v>41</v>
      </c>
    </row>
    <row r="28" customFormat="false" ht="15" hidden="false" customHeight="false" outlineLevel="0" collapsed="false">
      <c r="A28" s="2" t="s">
        <v>40</v>
      </c>
      <c r="B28" s="3" t="n">
        <f aca="false">COUNTIF('8. 온보딩 질문'!I:I,"Y")</f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6"/>
    <col collapsed="false" customWidth="true" hidden="false" outlineLevel="0" max="5" min="4" style="0" width="20"/>
    <col collapsed="false" customWidth="true" hidden="false" outlineLevel="0" max="6" min="6" style="0" width="26"/>
    <col collapsed="false" customWidth="true" hidden="false" outlineLevel="0" max="8" min="7" style="0" width="22"/>
    <col collapsed="false" customWidth="true" hidden="false" outlineLevel="0" max="9" min="9" style="0" width="16"/>
    <col collapsed="false" customWidth="true" hidden="false" outlineLevel="0" max="10" min="10" style="0" width="26"/>
    <col collapsed="false" customWidth="true" hidden="false" outlineLevel="0" max="11" min="11" style="0" width="30"/>
  </cols>
  <sheetData>
    <row r="1" customFormat="false" ht="15" hidden="false" customHeight="false" outlineLevel="0" collapsed="false">
      <c r="A1" s="7" t="s">
        <v>41</v>
      </c>
      <c r="B1" s="7" t="s">
        <v>42</v>
      </c>
      <c r="C1" s="7" t="s">
        <v>43</v>
      </c>
      <c r="D1" s="7" t="s">
        <v>44</v>
      </c>
      <c r="E1" s="7" t="s">
        <v>45</v>
      </c>
      <c r="F1" s="8" t="s">
        <v>46</v>
      </c>
      <c r="G1" s="8" t="s">
        <v>47</v>
      </c>
      <c r="H1" s="8" t="s">
        <v>48</v>
      </c>
      <c r="I1" s="8" t="s">
        <v>49</v>
      </c>
      <c r="J1" s="7" t="s">
        <v>50</v>
      </c>
      <c r="K1" s="7" t="s">
        <v>51</v>
      </c>
    </row>
    <row r="2" customFormat="false" ht="29.85" hidden="false" customHeight="false" outlineLevel="0" collapsed="false">
      <c r="A2" s="9" t="s">
        <v>52</v>
      </c>
      <c r="B2" s="10" t="s">
        <v>53</v>
      </c>
      <c r="C2" s="9" t="s">
        <v>54</v>
      </c>
      <c r="D2" s="10" t="s">
        <v>55</v>
      </c>
      <c r="E2" s="10" t="s">
        <v>56</v>
      </c>
      <c r="F2" s="9" t="s">
        <v>52</v>
      </c>
      <c r="G2" s="10" t="s">
        <v>57</v>
      </c>
      <c r="H2" s="9" t="s">
        <v>58</v>
      </c>
      <c r="I2" s="9" t="s">
        <v>59</v>
      </c>
      <c r="J2" s="10" t="s">
        <v>60</v>
      </c>
      <c r="K2" s="10"/>
    </row>
    <row r="3" customFormat="false" ht="15" hidden="false" customHeight="false" outlineLevel="0" collapsed="false">
      <c r="A3" s="9" t="s">
        <v>61</v>
      </c>
      <c r="B3" s="10" t="s">
        <v>62</v>
      </c>
      <c r="C3" s="9" t="s">
        <v>63</v>
      </c>
      <c r="D3" s="9" t="s">
        <v>64</v>
      </c>
      <c r="E3" s="10" t="s">
        <v>62</v>
      </c>
      <c r="F3" s="9" t="s">
        <v>61</v>
      </c>
      <c r="G3" s="10" t="s">
        <v>65</v>
      </c>
      <c r="H3" s="9" t="s">
        <v>66</v>
      </c>
      <c r="I3" s="9" t="s">
        <v>67</v>
      </c>
      <c r="J3" s="10" t="s">
        <v>68</v>
      </c>
      <c r="K3" s="10"/>
    </row>
    <row r="4" customFormat="false" ht="15" hidden="false" customHeight="false" outlineLevel="0" collapsed="false">
      <c r="A4" s="9" t="s">
        <v>69</v>
      </c>
      <c r="B4" s="10" t="s">
        <v>70</v>
      </c>
      <c r="C4" s="9" t="s">
        <v>71</v>
      </c>
      <c r="D4" s="9" t="s">
        <v>72</v>
      </c>
      <c r="E4" s="10" t="s">
        <v>73</v>
      </c>
      <c r="F4" s="9" t="s">
        <v>74</v>
      </c>
      <c r="G4" s="10" t="s">
        <v>75</v>
      </c>
      <c r="H4" s="9" t="s">
        <v>76</v>
      </c>
      <c r="I4" s="9" t="s">
        <v>77</v>
      </c>
      <c r="J4" s="10" t="s">
        <v>68</v>
      </c>
      <c r="K4" s="9" t="s">
        <v>78</v>
      </c>
    </row>
    <row r="5" customFormat="false" ht="29.85" hidden="false" customHeight="false" outlineLevel="0" collapsed="false">
      <c r="A5" s="9" t="s">
        <v>79</v>
      </c>
      <c r="B5" s="10" t="s">
        <v>80</v>
      </c>
      <c r="C5" s="9" t="s">
        <v>71</v>
      </c>
      <c r="D5" s="9" t="s">
        <v>81</v>
      </c>
      <c r="E5" s="10" t="s">
        <v>82</v>
      </c>
      <c r="F5" s="9" t="s">
        <v>83</v>
      </c>
      <c r="G5" s="10" t="s">
        <v>80</v>
      </c>
      <c r="H5" s="9" t="s">
        <v>84</v>
      </c>
      <c r="I5" s="9" t="s">
        <v>85</v>
      </c>
      <c r="J5" s="10" t="s">
        <v>86</v>
      </c>
      <c r="K5" s="10" t="s">
        <v>87</v>
      </c>
    </row>
    <row r="6" customFormat="false" ht="15" hidden="false" customHeight="false" outlineLevel="0" collapsed="false">
      <c r="A6" s="9" t="s">
        <v>88</v>
      </c>
      <c r="B6" s="10" t="s">
        <v>89</v>
      </c>
      <c r="C6" s="9" t="s">
        <v>63</v>
      </c>
      <c r="D6" s="9" t="s">
        <v>90</v>
      </c>
      <c r="E6" s="10" t="s">
        <v>91</v>
      </c>
      <c r="F6" s="9" t="s">
        <v>92</v>
      </c>
      <c r="G6" s="10" t="s">
        <v>93</v>
      </c>
      <c r="H6" s="9" t="s">
        <v>94</v>
      </c>
      <c r="I6" s="9" t="s">
        <v>95</v>
      </c>
      <c r="J6" s="10" t="s">
        <v>68</v>
      </c>
      <c r="K6" s="10"/>
    </row>
    <row r="7" customFormat="false" ht="15" hidden="false" customHeight="false" outlineLevel="0" collapsed="false">
      <c r="A7" s="9" t="s">
        <v>96</v>
      </c>
      <c r="B7" s="10" t="s">
        <v>97</v>
      </c>
      <c r="C7" s="9" t="s">
        <v>54</v>
      </c>
      <c r="D7" s="10" t="s">
        <v>98</v>
      </c>
      <c r="E7" s="10" t="s">
        <v>91</v>
      </c>
      <c r="F7" s="9" t="s">
        <v>99</v>
      </c>
      <c r="G7" s="10" t="s">
        <v>100</v>
      </c>
      <c r="H7" s="9" t="s">
        <v>101</v>
      </c>
      <c r="I7" s="9" t="s">
        <v>102</v>
      </c>
      <c r="J7" s="10" t="s">
        <v>68</v>
      </c>
      <c r="K7" s="9" t="s">
        <v>103</v>
      </c>
    </row>
    <row r="8" customFormat="false" ht="29.85" hidden="false" customHeight="false" outlineLevel="0" collapsed="false">
      <c r="A8" s="9" t="s">
        <v>104</v>
      </c>
      <c r="B8" s="10" t="s">
        <v>105</v>
      </c>
      <c r="C8" s="9" t="s">
        <v>54</v>
      </c>
      <c r="D8" s="10" t="s">
        <v>106</v>
      </c>
      <c r="E8" s="10" t="s">
        <v>91</v>
      </c>
      <c r="F8" s="9" t="s">
        <v>107</v>
      </c>
      <c r="G8" s="9" t="s">
        <v>84</v>
      </c>
      <c r="H8" s="9" t="s">
        <v>108</v>
      </c>
      <c r="I8" s="9" t="s">
        <v>109</v>
      </c>
      <c r="J8" s="10" t="s">
        <v>68</v>
      </c>
      <c r="K8" s="10"/>
    </row>
    <row r="9" customFormat="false" ht="15" hidden="false" customHeight="false" outlineLevel="0" collapsed="false">
      <c r="A9" s="9" t="s">
        <v>110</v>
      </c>
      <c r="B9" s="10" t="s">
        <v>111</v>
      </c>
      <c r="C9" s="9" t="s">
        <v>71</v>
      </c>
      <c r="D9" s="10" t="s">
        <v>112</v>
      </c>
      <c r="E9" s="10" t="s">
        <v>91</v>
      </c>
      <c r="F9" s="9" t="s">
        <v>113</v>
      </c>
      <c r="G9" s="9" t="s">
        <v>84</v>
      </c>
      <c r="H9" s="9" t="s">
        <v>84</v>
      </c>
      <c r="I9" s="9" t="s">
        <v>114</v>
      </c>
      <c r="J9" s="10" t="s">
        <v>68</v>
      </c>
      <c r="K9" s="10"/>
    </row>
    <row r="10" customFormat="false" ht="15" hidden="false" customHeight="false" outlineLevel="0" collapsed="false">
      <c r="A10" s="9" t="s">
        <v>115</v>
      </c>
      <c r="B10" s="10" t="s">
        <v>116</v>
      </c>
      <c r="C10" s="9" t="s">
        <v>117</v>
      </c>
      <c r="D10" s="9" t="s">
        <v>118</v>
      </c>
      <c r="E10" s="10" t="s">
        <v>119</v>
      </c>
      <c r="F10" s="9" t="s">
        <v>120</v>
      </c>
      <c r="G10" s="9" t="s">
        <v>84</v>
      </c>
      <c r="H10" s="9" t="s">
        <v>84</v>
      </c>
      <c r="I10" s="9" t="s">
        <v>84</v>
      </c>
      <c r="J10" s="10" t="s">
        <v>121</v>
      </c>
      <c r="K10" s="10"/>
    </row>
    <row r="11" customFormat="false" ht="15" hidden="false" customHeight="false" outlineLevel="0" collapsed="false">
      <c r="A11" s="9" t="s">
        <v>122</v>
      </c>
      <c r="B11" s="10" t="s">
        <v>123</v>
      </c>
      <c r="C11" s="9" t="s">
        <v>117</v>
      </c>
      <c r="D11" s="9" t="s">
        <v>118</v>
      </c>
      <c r="E11" s="10" t="s">
        <v>119</v>
      </c>
      <c r="F11" s="9" t="s">
        <v>124</v>
      </c>
      <c r="G11" s="9" t="s">
        <v>84</v>
      </c>
      <c r="H11" s="9" t="s">
        <v>84</v>
      </c>
      <c r="I11" s="9" t="s">
        <v>125</v>
      </c>
      <c r="J11" s="10" t="s">
        <v>68</v>
      </c>
      <c r="K11" s="10"/>
    </row>
    <row r="12" customFormat="false" ht="15" hidden="false" customHeight="false" outlineLevel="0" collapsed="false">
      <c r="A12" s="9" t="s">
        <v>126</v>
      </c>
      <c r="B12" s="10" t="s">
        <v>127</v>
      </c>
      <c r="C12" s="9" t="s">
        <v>117</v>
      </c>
      <c r="D12" s="9" t="s">
        <v>118</v>
      </c>
      <c r="E12" s="10" t="s">
        <v>119</v>
      </c>
      <c r="F12" s="9" t="s">
        <v>128</v>
      </c>
      <c r="G12" s="9" t="s">
        <v>84</v>
      </c>
      <c r="H12" s="9" t="s">
        <v>84</v>
      </c>
      <c r="I12" s="9" t="s">
        <v>84</v>
      </c>
      <c r="J12" s="10" t="s">
        <v>68</v>
      </c>
      <c r="K12" s="9" t="s">
        <v>129</v>
      </c>
    </row>
    <row r="13" customFormat="false" ht="29.85" hidden="false" customHeight="false" outlineLevel="0" collapsed="false">
      <c r="A13" s="9" t="s">
        <v>130</v>
      </c>
      <c r="B13" s="10" t="s">
        <v>131</v>
      </c>
      <c r="C13" s="9" t="s">
        <v>117</v>
      </c>
      <c r="D13" s="9" t="s">
        <v>118</v>
      </c>
      <c r="E13" s="10" t="s">
        <v>132</v>
      </c>
      <c r="F13" s="9" t="s">
        <v>133</v>
      </c>
      <c r="G13" s="9" t="s">
        <v>84</v>
      </c>
      <c r="H13" s="9" t="s">
        <v>134</v>
      </c>
      <c r="I13" s="9" t="s">
        <v>135</v>
      </c>
      <c r="J13" s="10" t="s">
        <v>68</v>
      </c>
      <c r="K13" s="10" t="s">
        <v>136</v>
      </c>
    </row>
    <row r="14" customFormat="false" ht="15" hidden="false" customHeight="false" outlineLevel="0" collapsed="false">
      <c r="A14" s="9" t="s">
        <v>137</v>
      </c>
      <c r="B14" s="10" t="s">
        <v>138</v>
      </c>
      <c r="C14" s="9" t="s">
        <v>117</v>
      </c>
      <c r="D14" s="9" t="s">
        <v>118</v>
      </c>
      <c r="E14" s="10" t="s">
        <v>132</v>
      </c>
      <c r="F14" s="9" t="s">
        <v>139</v>
      </c>
      <c r="G14" s="9" t="s">
        <v>84</v>
      </c>
      <c r="H14" s="9" t="s">
        <v>140</v>
      </c>
      <c r="I14" s="9" t="s">
        <v>141</v>
      </c>
      <c r="J14" s="10" t="s">
        <v>68</v>
      </c>
      <c r="K14" s="10" t="s">
        <v>142</v>
      </c>
    </row>
    <row r="15" customFormat="false" ht="15" hidden="false" customHeight="false" outlineLevel="0" collapsed="false">
      <c r="A15" s="9" t="s">
        <v>143</v>
      </c>
      <c r="B15" s="10" t="s">
        <v>144</v>
      </c>
      <c r="C15" s="9" t="s">
        <v>71</v>
      </c>
      <c r="D15" s="9" t="s">
        <v>145</v>
      </c>
      <c r="E15" s="10" t="s">
        <v>146</v>
      </c>
      <c r="F15" s="10" t="s">
        <v>147</v>
      </c>
      <c r="G15" s="9" t="s">
        <v>84</v>
      </c>
      <c r="H15" s="9" t="s">
        <v>148</v>
      </c>
      <c r="I15" s="9" t="s">
        <v>149</v>
      </c>
      <c r="J15" s="10" t="s">
        <v>150</v>
      </c>
      <c r="K15" s="10" t="s">
        <v>151</v>
      </c>
    </row>
    <row r="16" customFormat="false" ht="29.85" hidden="false" customHeight="false" outlineLevel="0" collapsed="false">
      <c r="A16" s="9" t="s">
        <v>152</v>
      </c>
      <c r="B16" s="10" t="s">
        <v>153</v>
      </c>
      <c r="C16" s="9" t="s">
        <v>71</v>
      </c>
      <c r="D16" s="9" t="s">
        <v>154</v>
      </c>
      <c r="E16" s="10" t="s">
        <v>155</v>
      </c>
      <c r="F16" s="10" t="s">
        <v>156</v>
      </c>
      <c r="G16" s="9" t="s">
        <v>84</v>
      </c>
      <c r="H16" s="9" t="s">
        <v>157</v>
      </c>
      <c r="I16" s="9" t="s">
        <v>158</v>
      </c>
      <c r="J16" s="10" t="s">
        <v>159</v>
      </c>
      <c r="K16" s="10" t="s">
        <v>160</v>
      </c>
    </row>
    <row r="17" customFormat="false" ht="15" hidden="false" customHeight="false" outlineLevel="0" collapsed="false">
      <c r="A17" s="9" t="s">
        <v>161</v>
      </c>
      <c r="B17" s="10" t="s">
        <v>162</v>
      </c>
      <c r="C17" s="9" t="s">
        <v>71</v>
      </c>
      <c r="D17" s="9" t="s">
        <v>154</v>
      </c>
      <c r="E17" s="10" t="s">
        <v>155</v>
      </c>
      <c r="F17" s="10" t="s">
        <v>163</v>
      </c>
      <c r="G17" s="9" t="s">
        <v>84</v>
      </c>
      <c r="H17" s="9" t="s">
        <v>84</v>
      </c>
      <c r="I17" s="9" t="s">
        <v>164</v>
      </c>
      <c r="J17" s="10" t="s">
        <v>165</v>
      </c>
      <c r="K17" s="10"/>
    </row>
    <row r="18" customFormat="false" ht="44" hidden="false" customHeight="false" outlineLevel="0" collapsed="false">
      <c r="A18" s="9" t="s">
        <v>166</v>
      </c>
      <c r="B18" s="10" t="s">
        <v>167</v>
      </c>
      <c r="C18" s="9" t="s">
        <v>71</v>
      </c>
      <c r="D18" s="9" t="s">
        <v>154</v>
      </c>
      <c r="E18" s="10" t="s">
        <v>168</v>
      </c>
      <c r="F18" s="9" t="s">
        <v>169</v>
      </c>
      <c r="G18" s="9" t="s">
        <v>84</v>
      </c>
      <c r="H18" s="9" t="s">
        <v>84</v>
      </c>
      <c r="I18" s="9" t="s">
        <v>84</v>
      </c>
      <c r="J18" s="10" t="s">
        <v>170</v>
      </c>
      <c r="K18" s="10" t="s">
        <v>171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34"/>
    <col collapsed="false" customWidth="true" hidden="false" outlineLevel="0" max="5" min="5" style="0" width="46"/>
    <col collapsed="false" customWidth="true" hidden="false" outlineLevel="0" max="6" min="6" style="0" width="7"/>
    <col collapsed="false" customWidth="true" hidden="false" outlineLevel="0" max="7" min="7" style="0" width="20"/>
    <col collapsed="false" customWidth="true" hidden="false" outlineLevel="0" max="8" min="8" style="0" width="30"/>
    <col collapsed="false" customWidth="true" hidden="false" outlineLevel="0" max="9" min="9" style="0" width="40"/>
  </cols>
  <sheetData>
    <row r="1" customFormat="false" ht="15" hidden="false" customHeight="false" outlineLevel="0" collapsed="false">
      <c r="A1" s="7" t="s">
        <v>172</v>
      </c>
      <c r="B1" s="7" t="s">
        <v>173</v>
      </c>
      <c r="C1" s="7" t="s">
        <v>174</v>
      </c>
      <c r="D1" s="7" t="s">
        <v>175</v>
      </c>
      <c r="E1" s="7" t="s">
        <v>176</v>
      </c>
      <c r="F1" s="7" t="s">
        <v>177</v>
      </c>
      <c r="G1" s="7" t="s">
        <v>178</v>
      </c>
      <c r="H1" s="7" t="s">
        <v>179</v>
      </c>
      <c r="I1" s="7" t="s">
        <v>51</v>
      </c>
    </row>
    <row r="2" customFormat="false" ht="15" hidden="false" customHeight="false" outlineLevel="0" collapsed="false">
      <c r="A2" s="10" t="s">
        <v>180</v>
      </c>
      <c r="B2" s="9" t="s">
        <v>181</v>
      </c>
      <c r="C2" s="11" t="s">
        <v>182</v>
      </c>
      <c r="D2" s="12" t="s">
        <v>183</v>
      </c>
      <c r="E2" s="10" t="s">
        <v>184</v>
      </c>
      <c r="F2" s="12" t="s">
        <v>185</v>
      </c>
      <c r="G2" s="10" t="s">
        <v>186</v>
      </c>
      <c r="H2" s="10"/>
      <c r="I2" s="10"/>
    </row>
    <row r="3" customFormat="false" ht="15" hidden="false" customHeight="false" outlineLevel="0" collapsed="false">
      <c r="A3" s="10" t="s">
        <v>180</v>
      </c>
      <c r="B3" s="9" t="s">
        <v>181</v>
      </c>
      <c r="C3" s="11" t="s">
        <v>182</v>
      </c>
      <c r="D3" s="12" t="s">
        <v>88</v>
      </c>
      <c r="E3" s="10" t="s">
        <v>187</v>
      </c>
      <c r="F3" s="12" t="s">
        <v>185</v>
      </c>
      <c r="G3" s="10" t="s">
        <v>186</v>
      </c>
      <c r="H3" s="10"/>
      <c r="I3" s="10"/>
    </row>
    <row r="4" customFormat="false" ht="15" hidden="false" customHeight="false" outlineLevel="0" collapsed="false">
      <c r="A4" s="10" t="s">
        <v>180</v>
      </c>
      <c r="B4" s="9" t="s">
        <v>181</v>
      </c>
      <c r="C4" s="11" t="s">
        <v>182</v>
      </c>
      <c r="D4" s="12" t="s">
        <v>96</v>
      </c>
      <c r="E4" s="10" t="s">
        <v>188</v>
      </c>
      <c r="F4" s="12" t="s">
        <v>185</v>
      </c>
      <c r="G4" s="10" t="s">
        <v>186</v>
      </c>
      <c r="H4" s="10"/>
      <c r="I4" s="10"/>
    </row>
    <row r="5" customFormat="false" ht="15" hidden="false" customHeight="false" outlineLevel="0" collapsed="false">
      <c r="A5" s="10" t="s">
        <v>180</v>
      </c>
      <c r="B5" s="9" t="s">
        <v>181</v>
      </c>
      <c r="C5" s="11" t="s">
        <v>182</v>
      </c>
      <c r="D5" s="12" t="s">
        <v>104</v>
      </c>
      <c r="E5" s="10" t="s">
        <v>105</v>
      </c>
      <c r="F5" s="12" t="s">
        <v>185</v>
      </c>
      <c r="G5" s="10" t="s">
        <v>186</v>
      </c>
      <c r="H5" s="10"/>
      <c r="I5" s="10"/>
    </row>
    <row r="6" customFormat="false" ht="15" hidden="false" customHeight="false" outlineLevel="0" collapsed="false">
      <c r="A6" s="10" t="s">
        <v>180</v>
      </c>
      <c r="B6" s="9" t="s">
        <v>181</v>
      </c>
      <c r="C6" s="11" t="s">
        <v>182</v>
      </c>
      <c r="D6" s="12" t="s">
        <v>110</v>
      </c>
      <c r="E6" s="10" t="s">
        <v>189</v>
      </c>
      <c r="F6" s="12" t="s">
        <v>185</v>
      </c>
      <c r="G6" s="10" t="s">
        <v>186</v>
      </c>
      <c r="H6" s="10"/>
      <c r="I6" s="10"/>
    </row>
    <row r="7" customFormat="false" ht="15" hidden="false" customHeight="false" outlineLevel="0" collapsed="false">
      <c r="A7" s="10" t="s">
        <v>180</v>
      </c>
      <c r="B7" s="9" t="s">
        <v>181</v>
      </c>
      <c r="C7" s="11" t="s">
        <v>182</v>
      </c>
      <c r="D7" s="12" t="s">
        <v>115</v>
      </c>
      <c r="E7" s="10" t="s">
        <v>116</v>
      </c>
      <c r="F7" s="12" t="s">
        <v>185</v>
      </c>
      <c r="G7" s="10" t="s">
        <v>186</v>
      </c>
      <c r="H7" s="10"/>
      <c r="I7" s="10"/>
    </row>
    <row r="8" customFormat="false" ht="15" hidden="false" customHeight="false" outlineLevel="0" collapsed="false">
      <c r="A8" s="10" t="s">
        <v>180</v>
      </c>
      <c r="B8" s="9" t="s">
        <v>181</v>
      </c>
      <c r="C8" s="13" t="s">
        <v>182</v>
      </c>
      <c r="D8" s="14" t="s">
        <v>137</v>
      </c>
      <c r="E8" s="10" t="s">
        <v>138</v>
      </c>
      <c r="F8" s="14" t="s">
        <v>190</v>
      </c>
      <c r="G8" s="10" t="s">
        <v>186</v>
      </c>
      <c r="H8" s="10"/>
      <c r="I8" s="10"/>
    </row>
    <row r="9" customFormat="false" ht="15" hidden="false" customHeight="false" outlineLevel="0" collapsed="false">
      <c r="A9" s="10" t="s">
        <v>180</v>
      </c>
      <c r="B9" s="9" t="s">
        <v>181</v>
      </c>
      <c r="C9" s="11" t="s">
        <v>182</v>
      </c>
      <c r="D9" s="12" t="s">
        <v>191</v>
      </c>
      <c r="E9" s="9" t="s">
        <v>192</v>
      </c>
      <c r="F9" s="12" t="s">
        <v>185</v>
      </c>
      <c r="G9" s="10" t="s">
        <v>186</v>
      </c>
      <c r="H9" s="10"/>
      <c r="I9" s="10"/>
    </row>
    <row r="10" customFormat="false" ht="15" hidden="false" customHeight="false" outlineLevel="0" collapsed="false">
      <c r="A10" s="10" t="s">
        <v>180</v>
      </c>
      <c r="B10" s="9" t="s">
        <v>181</v>
      </c>
      <c r="C10" s="11" t="s">
        <v>182</v>
      </c>
      <c r="D10" s="12" t="s">
        <v>152</v>
      </c>
      <c r="E10" s="9" t="s">
        <v>193</v>
      </c>
      <c r="F10" s="12" t="s">
        <v>185</v>
      </c>
      <c r="G10" s="10" t="s">
        <v>186</v>
      </c>
      <c r="H10" s="10"/>
      <c r="I10" s="10"/>
    </row>
    <row r="11" customFormat="false" ht="15" hidden="false" customHeight="false" outlineLevel="0" collapsed="false">
      <c r="A11" s="10" t="s">
        <v>180</v>
      </c>
      <c r="B11" s="9" t="s">
        <v>181</v>
      </c>
      <c r="C11" s="15" t="s">
        <v>194</v>
      </c>
      <c r="D11" s="16" t="s">
        <v>195</v>
      </c>
      <c r="E11" s="10" t="s">
        <v>196</v>
      </c>
      <c r="F11" s="15" t="s">
        <v>197</v>
      </c>
      <c r="G11" s="10" t="s">
        <v>198</v>
      </c>
      <c r="H11" s="10"/>
      <c r="I11" s="10" t="s">
        <v>199</v>
      </c>
    </row>
    <row r="12" customFormat="false" ht="15" hidden="false" customHeight="false" outlineLevel="0" collapsed="false">
      <c r="A12" s="10" t="s">
        <v>180</v>
      </c>
      <c r="B12" s="9" t="s">
        <v>181</v>
      </c>
      <c r="C12" s="15" t="s">
        <v>194</v>
      </c>
      <c r="D12" s="16" t="s">
        <v>200</v>
      </c>
      <c r="E12" s="10" t="s">
        <v>201</v>
      </c>
      <c r="F12" s="15" t="s">
        <v>197</v>
      </c>
      <c r="G12" s="10" t="s">
        <v>202</v>
      </c>
      <c r="H12" s="10"/>
      <c r="I12" s="10"/>
    </row>
    <row r="13" customFormat="false" ht="15" hidden="false" customHeight="false" outlineLevel="0" collapsed="false">
      <c r="A13" s="10" t="s">
        <v>180</v>
      </c>
      <c r="B13" s="9" t="s">
        <v>181</v>
      </c>
      <c r="C13" s="17" t="s">
        <v>203</v>
      </c>
      <c r="D13" s="18" t="s">
        <v>204</v>
      </c>
      <c r="E13" s="10" t="s">
        <v>205</v>
      </c>
      <c r="F13" s="17" t="s">
        <v>206</v>
      </c>
      <c r="G13" s="10" t="s">
        <v>207</v>
      </c>
      <c r="H13" s="10" t="s">
        <v>208</v>
      </c>
      <c r="I13" s="10"/>
    </row>
    <row r="14" customFormat="false" ht="29.85" hidden="false" customHeight="false" outlineLevel="0" collapsed="false">
      <c r="A14" s="10" t="s">
        <v>180</v>
      </c>
      <c r="B14" s="9" t="s">
        <v>181</v>
      </c>
      <c r="C14" s="10" t="s">
        <v>209</v>
      </c>
      <c r="D14" s="10" t="s">
        <v>210</v>
      </c>
      <c r="E14" s="10" t="s">
        <v>211</v>
      </c>
      <c r="F14" s="9" t="s">
        <v>84</v>
      </c>
      <c r="G14" s="10" t="s">
        <v>212</v>
      </c>
      <c r="H14" s="10"/>
      <c r="I14" s="10"/>
    </row>
    <row r="15" customFormat="false" ht="15" hidden="false" customHeight="false" outlineLevel="0" collapsed="false">
      <c r="A15" s="10" t="s">
        <v>213</v>
      </c>
      <c r="B15" s="9" t="s">
        <v>181</v>
      </c>
      <c r="C15" s="11" t="s">
        <v>182</v>
      </c>
      <c r="D15" s="12" t="s">
        <v>214</v>
      </c>
      <c r="E15" s="10" t="s">
        <v>184</v>
      </c>
      <c r="F15" s="12" t="s">
        <v>185</v>
      </c>
      <c r="G15" s="10" t="s">
        <v>186</v>
      </c>
      <c r="H15" s="10"/>
      <c r="I15" s="10"/>
    </row>
    <row r="16" customFormat="false" ht="15" hidden="false" customHeight="false" outlineLevel="0" collapsed="false">
      <c r="A16" s="10" t="s">
        <v>213</v>
      </c>
      <c r="B16" s="9" t="s">
        <v>181</v>
      </c>
      <c r="C16" s="11" t="s">
        <v>182</v>
      </c>
      <c r="D16" s="12" t="s">
        <v>79</v>
      </c>
      <c r="E16" s="10" t="s">
        <v>215</v>
      </c>
      <c r="F16" s="12" t="s">
        <v>185</v>
      </c>
      <c r="G16" s="10" t="s">
        <v>186</v>
      </c>
      <c r="H16" s="10"/>
      <c r="I16" s="10"/>
    </row>
    <row r="17" customFormat="false" ht="15" hidden="false" customHeight="false" outlineLevel="0" collapsed="false">
      <c r="A17" s="10" t="s">
        <v>213</v>
      </c>
      <c r="B17" s="9" t="s">
        <v>181</v>
      </c>
      <c r="C17" s="11" t="s">
        <v>182</v>
      </c>
      <c r="D17" s="12" t="s">
        <v>88</v>
      </c>
      <c r="E17" s="10" t="s">
        <v>89</v>
      </c>
      <c r="F17" s="12" t="s">
        <v>185</v>
      </c>
      <c r="G17" s="10" t="s">
        <v>186</v>
      </c>
      <c r="H17" s="10"/>
      <c r="I17" s="10"/>
    </row>
    <row r="18" customFormat="false" ht="15" hidden="false" customHeight="false" outlineLevel="0" collapsed="false">
      <c r="A18" s="10" t="s">
        <v>213</v>
      </c>
      <c r="B18" s="9" t="s">
        <v>181</v>
      </c>
      <c r="C18" s="13" t="s">
        <v>182</v>
      </c>
      <c r="D18" s="14" t="s">
        <v>96</v>
      </c>
      <c r="E18" s="10" t="s">
        <v>216</v>
      </c>
      <c r="F18" s="14" t="s">
        <v>190</v>
      </c>
      <c r="G18" s="10" t="s">
        <v>186</v>
      </c>
      <c r="H18" s="10"/>
      <c r="I18" s="10"/>
    </row>
    <row r="19" customFormat="false" ht="15" hidden="false" customHeight="false" outlineLevel="0" collapsed="false">
      <c r="A19" s="10" t="s">
        <v>213</v>
      </c>
      <c r="B19" s="9" t="s">
        <v>181</v>
      </c>
      <c r="C19" s="11" t="s">
        <v>182</v>
      </c>
      <c r="D19" s="12" t="s">
        <v>104</v>
      </c>
      <c r="E19" s="10" t="s">
        <v>105</v>
      </c>
      <c r="F19" s="12" t="s">
        <v>185</v>
      </c>
      <c r="G19" s="10" t="s">
        <v>186</v>
      </c>
      <c r="H19" s="10"/>
      <c r="I19" s="10"/>
    </row>
    <row r="20" customFormat="false" ht="15" hidden="false" customHeight="false" outlineLevel="0" collapsed="false">
      <c r="A20" s="10" t="s">
        <v>213</v>
      </c>
      <c r="B20" s="9" t="s">
        <v>181</v>
      </c>
      <c r="C20" s="11" t="s">
        <v>182</v>
      </c>
      <c r="D20" s="12" t="s">
        <v>110</v>
      </c>
      <c r="E20" s="10" t="s">
        <v>217</v>
      </c>
      <c r="F20" s="12" t="s">
        <v>185</v>
      </c>
      <c r="G20" s="10" t="s">
        <v>186</v>
      </c>
      <c r="H20" s="10"/>
      <c r="I20" s="10"/>
    </row>
    <row r="21" customFormat="false" ht="15" hidden="false" customHeight="false" outlineLevel="0" collapsed="false">
      <c r="A21" s="10" t="s">
        <v>213</v>
      </c>
      <c r="B21" s="9" t="s">
        <v>181</v>
      </c>
      <c r="C21" s="11" t="s">
        <v>182</v>
      </c>
      <c r="D21" s="12" t="s">
        <v>122</v>
      </c>
      <c r="E21" s="10" t="s">
        <v>123</v>
      </c>
      <c r="F21" s="12" t="s">
        <v>185</v>
      </c>
      <c r="G21" s="10" t="s">
        <v>186</v>
      </c>
      <c r="H21" s="10"/>
      <c r="I21" s="10"/>
    </row>
    <row r="22" customFormat="false" ht="15" hidden="false" customHeight="false" outlineLevel="0" collapsed="false">
      <c r="A22" s="10" t="s">
        <v>213</v>
      </c>
      <c r="B22" s="9" t="s">
        <v>181</v>
      </c>
      <c r="C22" s="11" t="s">
        <v>182</v>
      </c>
      <c r="D22" s="12" t="s">
        <v>130</v>
      </c>
      <c r="E22" s="10" t="s">
        <v>131</v>
      </c>
      <c r="F22" s="12" t="s">
        <v>185</v>
      </c>
      <c r="G22" s="10" t="s">
        <v>186</v>
      </c>
      <c r="H22" s="10"/>
      <c r="I22" s="10"/>
    </row>
    <row r="23" customFormat="false" ht="15" hidden="false" customHeight="false" outlineLevel="0" collapsed="false">
      <c r="A23" s="10" t="s">
        <v>213</v>
      </c>
      <c r="B23" s="9" t="s">
        <v>181</v>
      </c>
      <c r="C23" s="11" t="s">
        <v>182</v>
      </c>
      <c r="D23" s="12" t="s">
        <v>143</v>
      </c>
      <c r="E23" s="9" t="s">
        <v>218</v>
      </c>
      <c r="F23" s="12" t="s">
        <v>185</v>
      </c>
      <c r="G23" s="10" t="s">
        <v>186</v>
      </c>
      <c r="H23" s="10"/>
      <c r="I23" s="10"/>
    </row>
    <row r="24" customFormat="false" ht="15" hidden="false" customHeight="false" outlineLevel="0" collapsed="false">
      <c r="A24" s="10" t="s">
        <v>213</v>
      </c>
      <c r="B24" s="9" t="s">
        <v>181</v>
      </c>
      <c r="C24" s="11" t="s">
        <v>182</v>
      </c>
      <c r="D24" s="12" t="s">
        <v>152</v>
      </c>
      <c r="E24" s="9" t="s">
        <v>219</v>
      </c>
      <c r="F24" s="12" t="s">
        <v>185</v>
      </c>
      <c r="G24" s="10" t="s">
        <v>186</v>
      </c>
      <c r="H24" s="10"/>
      <c r="I24" s="10"/>
    </row>
    <row r="25" customFormat="false" ht="15" hidden="false" customHeight="false" outlineLevel="0" collapsed="false">
      <c r="A25" s="10" t="s">
        <v>213</v>
      </c>
      <c r="B25" s="9" t="s">
        <v>181</v>
      </c>
      <c r="C25" s="15" t="s">
        <v>194</v>
      </c>
      <c r="D25" s="16" t="s">
        <v>220</v>
      </c>
      <c r="E25" s="10" t="s">
        <v>221</v>
      </c>
      <c r="F25" s="15" t="s">
        <v>197</v>
      </c>
      <c r="G25" s="10" t="s">
        <v>222</v>
      </c>
      <c r="H25" s="10"/>
      <c r="I25" s="10" t="s">
        <v>223</v>
      </c>
    </row>
    <row r="26" customFormat="false" ht="15" hidden="false" customHeight="false" outlineLevel="0" collapsed="false">
      <c r="A26" s="10" t="s">
        <v>213</v>
      </c>
      <c r="B26" s="9" t="s">
        <v>181</v>
      </c>
      <c r="C26" s="15" t="s">
        <v>194</v>
      </c>
      <c r="D26" s="16" t="s">
        <v>224</v>
      </c>
      <c r="E26" s="10" t="s">
        <v>225</v>
      </c>
      <c r="F26" s="15" t="s">
        <v>197</v>
      </c>
      <c r="G26" s="10" t="s">
        <v>202</v>
      </c>
      <c r="H26" s="10"/>
      <c r="I26" s="10"/>
    </row>
    <row r="27" customFormat="false" ht="15" hidden="false" customHeight="false" outlineLevel="0" collapsed="false">
      <c r="A27" s="10" t="s">
        <v>213</v>
      </c>
      <c r="B27" s="9" t="s">
        <v>181</v>
      </c>
      <c r="C27" s="17" t="s">
        <v>203</v>
      </c>
      <c r="D27" s="18" t="s">
        <v>226</v>
      </c>
      <c r="E27" s="10" t="s">
        <v>227</v>
      </c>
      <c r="F27" s="17" t="s">
        <v>206</v>
      </c>
      <c r="G27" s="10" t="s">
        <v>228</v>
      </c>
      <c r="H27" s="10" t="s">
        <v>229</v>
      </c>
      <c r="I27" s="10"/>
    </row>
    <row r="28" customFormat="false" ht="15" hidden="false" customHeight="false" outlineLevel="0" collapsed="false">
      <c r="A28" s="10" t="s">
        <v>213</v>
      </c>
      <c r="B28" s="9" t="s">
        <v>181</v>
      </c>
      <c r="C28" s="17" t="s">
        <v>203</v>
      </c>
      <c r="D28" s="18" t="s">
        <v>230</v>
      </c>
      <c r="E28" s="10" t="s">
        <v>231</v>
      </c>
      <c r="F28" s="17" t="s">
        <v>206</v>
      </c>
      <c r="G28" s="10" t="s">
        <v>228</v>
      </c>
      <c r="H28" s="10" t="s">
        <v>232</v>
      </c>
      <c r="I28" s="10"/>
    </row>
    <row r="29" customFormat="false" ht="15" hidden="false" customHeight="false" outlineLevel="0" collapsed="false">
      <c r="A29" s="10" t="s">
        <v>213</v>
      </c>
      <c r="B29" s="9" t="s">
        <v>181</v>
      </c>
      <c r="C29" s="17" t="s">
        <v>203</v>
      </c>
      <c r="D29" s="18" t="s">
        <v>233</v>
      </c>
      <c r="E29" s="9" t="s">
        <v>234</v>
      </c>
      <c r="F29" s="17" t="s">
        <v>206</v>
      </c>
      <c r="G29" s="10" t="s">
        <v>235</v>
      </c>
      <c r="H29" s="10"/>
      <c r="I29" s="10"/>
    </row>
    <row r="30" customFormat="false" ht="29.85" hidden="false" customHeight="false" outlineLevel="0" collapsed="false">
      <c r="A30" s="10" t="s">
        <v>213</v>
      </c>
      <c r="B30" s="9" t="s">
        <v>181</v>
      </c>
      <c r="C30" s="10" t="s">
        <v>209</v>
      </c>
      <c r="D30" s="10" t="s">
        <v>236</v>
      </c>
      <c r="E30" s="10"/>
      <c r="F30" s="9" t="s">
        <v>84</v>
      </c>
      <c r="G30" s="10" t="s">
        <v>212</v>
      </c>
      <c r="H30" s="10"/>
      <c r="I30" s="10"/>
    </row>
    <row r="31" customFormat="false" ht="15" hidden="false" customHeight="false" outlineLevel="0" collapsed="false">
      <c r="A31" s="10" t="s">
        <v>237</v>
      </c>
      <c r="B31" s="9" t="s">
        <v>238</v>
      </c>
      <c r="C31" s="17" t="s">
        <v>203</v>
      </c>
      <c r="D31" s="18" t="s">
        <v>69</v>
      </c>
      <c r="E31" s="10" t="s">
        <v>239</v>
      </c>
      <c r="F31" s="17" t="s">
        <v>206</v>
      </c>
      <c r="G31" s="10" t="s">
        <v>240</v>
      </c>
      <c r="H31" s="10" t="s">
        <v>241</v>
      </c>
      <c r="I31" s="10" t="s">
        <v>242</v>
      </c>
    </row>
    <row r="32" customFormat="false" ht="15" hidden="false" customHeight="false" outlineLevel="0" collapsed="false">
      <c r="A32" s="10" t="s">
        <v>237</v>
      </c>
      <c r="B32" s="9" t="s">
        <v>238</v>
      </c>
      <c r="C32" s="17" t="s">
        <v>203</v>
      </c>
      <c r="D32" s="18" t="s">
        <v>79</v>
      </c>
      <c r="E32" s="10" t="s">
        <v>243</v>
      </c>
      <c r="F32" s="17" t="s">
        <v>206</v>
      </c>
      <c r="G32" s="10" t="s">
        <v>244</v>
      </c>
      <c r="H32" s="10" t="s">
        <v>245</v>
      </c>
      <c r="I32" s="10"/>
    </row>
    <row r="33" customFormat="false" ht="15" hidden="false" customHeight="false" outlineLevel="0" collapsed="false">
      <c r="A33" s="10" t="s">
        <v>237</v>
      </c>
      <c r="B33" s="9" t="s">
        <v>238</v>
      </c>
      <c r="C33" s="17" t="s">
        <v>203</v>
      </c>
      <c r="D33" s="18" t="s">
        <v>246</v>
      </c>
      <c r="E33" s="10" t="s">
        <v>247</v>
      </c>
      <c r="F33" s="17" t="s">
        <v>206</v>
      </c>
      <c r="G33" s="10" t="s">
        <v>248</v>
      </c>
      <c r="H33" s="10"/>
      <c r="I33" s="10"/>
    </row>
    <row r="34" customFormat="false" ht="15" hidden="false" customHeight="false" outlineLevel="0" collapsed="false">
      <c r="A34" s="10" t="s">
        <v>237</v>
      </c>
      <c r="B34" s="9" t="s">
        <v>238</v>
      </c>
      <c r="C34" s="10" t="s">
        <v>209</v>
      </c>
      <c r="D34" s="10" t="s">
        <v>249</v>
      </c>
      <c r="E34" s="9" t="s">
        <v>250</v>
      </c>
      <c r="F34" s="9" t="s">
        <v>84</v>
      </c>
      <c r="G34" s="10" t="s">
        <v>212</v>
      </c>
      <c r="H34" s="10"/>
      <c r="I34" s="10"/>
    </row>
    <row r="35" customFormat="false" ht="15" hidden="false" customHeight="false" outlineLevel="0" collapsed="false">
      <c r="A35" s="10" t="s">
        <v>251</v>
      </c>
      <c r="B35" s="9" t="s">
        <v>252</v>
      </c>
      <c r="C35" s="17" t="s">
        <v>253</v>
      </c>
      <c r="D35" s="18" t="s">
        <v>79</v>
      </c>
      <c r="E35" s="9" t="s">
        <v>254</v>
      </c>
      <c r="F35" s="17" t="s">
        <v>255</v>
      </c>
      <c r="G35" s="10" t="s">
        <v>244</v>
      </c>
      <c r="H35" s="10"/>
      <c r="I35" s="9" t="s">
        <v>256</v>
      </c>
    </row>
    <row r="36" customFormat="false" ht="15" hidden="false" customHeight="false" outlineLevel="0" collapsed="false">
      <c r="A36" s="10" t="s">
        <v>251</v>
      </c>
      <c r="B36" s="9" t="s">
        <v>252</v>
      </c>
      <c r="C36" s="17" t="s">
        <v>253</v>
      </c>
      <c r="D36" s="18" t="s">
        <v>204</v>
      </c>
      <c r="E36" s="9" t="s">
        <v>257</v>
      </c>
      <c r="F36" s="17" t="s">
        <v>255</v>
      </c>
      <c r="G36" s="10" t="s">
        <v>207</v>
      </c>
      <c r="H36" s="10"/>
      <c r="I36" s="10"/>
    </row>
    <row r="37" customFormat="false" ht="15" hidden="false" customHeight="false" outlineLevel="0" collapsed="false">
      <c r="A37" s="10" t="s">
        <v>251</v>
      </c>
      <c r="B37" s="9" t="s">
        <v>252</v>
      </c>
      <c r="C37" s="17" t="s">
        <v>253</v>
      </c>
      <c r="D37" s="18" t="s">
        <v>226</v>
      </c>
      <c r="E37" s="9" t="s">
        <v>258</v>
      </c>
      <c r="F37" s="17" t="s">
        <v>255</v>
      </c>
      <c r="G37" s="10" t="s">
        <v>228</v>
      </c>
      <c r="H37" s="10"/>
      <c r="I37" s="10"/>
    </row>
    <row r="38" customFormat="false" ht="15" hidden="false" customHeight="false" outlineLevel="0" collapsed="false">
      <c r="A38" s="10" t="s">
        <v>251</v>
      </c>
      <c r="B38" s="9" t="s">
        <v>252</v>
      </c>
      <c r="C38" s="17" t="s">
        <v>253</v>
      </c>
      <c r="D38" s="18" t="s">
        <v>259</v>
      </c>
      <c r="E38" s="9" t="s">
        <v>260</v>
      </c>
      <c r="F38" s="17" t="s">
        <v>255</v>
      </c>
      <c r="G38" s="10" t="s">
        <v>235</v>
      </c>
      <c r="H38" s="10"/>
      <c r="I38" s="10" t="s">
        <v>261</v>
      </c>
    </row>
    <row r="39" customFormat="false" ht="15" hidden="false" customHeight="false" outlineLevel="0" collapsed="false">
      <c r="A39" s="10" t="s">
        <v>251</v>
      </c>
      <c r="B39" s="9" t="s">
        <v>252</v>
      </c>
      <c r="C39" s="17" t="s">
        <v>253</v>
      </c>
      <c r="D39" s="18" t="s">
        <v>262</v>
      </c>
      <c r="E39" s="9" t="s">
        <v>263</v>
      </c>
      <c r="F39" s="17" t="s">
        <v>255</v>
      </c>
      <c r="G39" s="10" t="s">
        <v>235</v>
      </c>
      <c r="H39" s="10"/>
      <c r="I39" s="10"/>
    </row>
    <row r="40" customFormat="false" ht="15" hidden="false" customHeight="false" outlineLevel="0" collapsed="false">
      <c r="A40" s="10" t="s">
        <v>251</v>
      </c>
      <c r="B40" s="9" t="s">
        <v>252</v>
      </c>
      <c r="C40" s="13" t="s">
        <v>182</v>
      </c>
      <c r="D40" s="14" t="s">
        <v>264</v>
      </c>
      <c r="E40" s="10" t="s">
        <v>265</v>
      </c>
      <c r="F40" s="14" t="s">
        <v>190</v>
      </c>
      <c r="G40" s="10"/>
      <c r="H40" s="10"/>
      <c r="I40" s="9" t="s">
        <v>266</v>
      </c>
    </row>
    <row r="41" customFormat="false" ht="15" hidden="false" customHeight="false" outlineLevel="0" collapsed="false">
      <c r="A41" s="10" t="s">
        <v>251</v>
      </c>
      <c r="B41" s="9" t="s">
        <v>252</v>
      </c>
      <c r="C41" s="10" t="s">
        <v>209</v>
      </c>
      <c r="D41" s="10" t="s">
        <v>267</v>
      </c>
      <c r="E41" s="10"/>
      <c r="F41" s="9" t="s">
        <v>84</v>
      </c>
      <c r="G41" s="10"/>
      <c r="H41" s="10"/>
      <c r="I41" s="10"/>
    </row>
    <row r="42" customFormat="false" ht="15" hidden="false" customHeight="false" outlineLevel="0" collapsed="false">
      <c r="A42" s="10" t="s">
        <v>268</v>
      </c>
      <c r="B42" s="9" t="s">
        <v>269</v>
      </c>
      <c r="C42" s="11" t="s">
        <v>182</v>
      </c>
      <c r="D42" s="12" t="s">
        <v>52</v>
      </c>
      <c r="E42" s="10" t="s">
        <v>270</v>
      </c>
      <c r="F42" s="12" t="s">
        <v>185</v>
      </c>
      <c r="G42" s="10" t="s">
        <v>271</v>
      </c>
      <c r="H42" s="10"/>
      <c r="I42" s="10"/>
    </row>
    <row r="43" customFormat="false" ht="15" hidden="false" customHeight="false" outlineLevel="0" collapsed="false">
      <c r="A43" s="10" t="s">
        <v>268</v>
      </c>
      <c r="B43" s="9" t="s">
        <v>269</v>
      </c>
      <c r="C43" s="13" t="s">
        <v>182</v>
      </c>
      <c r="D43" s="14" t="s">
        <v>272</v>
      </c>
      <c r="E43" s="10" t="s">
        <v>273</v>
      </c>
      <c r="F43" s="14" t="s">
        <v>190</v>
      </c>
      <c r="G43" s="10" t="s">
        <v>271</v>
      </c>
      <c r="H43" s="10"/>
      <c r="I43" s="10"/>
    </row>
    <row r="44" customFormat="false" ht="15" hidden="false" customHeight="false" outlineLevel="0" collapsed="false">
      <c r="A44" s="10" t="s">
        <v>268</v>
      </c>
      <c r="B44" s="9" t="s">
        <v>269</v>
      </c>
      <c r="C44" s="11" t="s">
        <v>182</v>
      </c>
      <c r="D44" s="12" t="s">
        <v>130</v>
      </c>
      <c r="E44" s="10" t="s">
        <v>131</v>
      </c>
      <c r="F44" s="12" t="s">
        <v>185</v>
      </c>
      <c r="G44" s="10" t="s">
        <v>271</v>
      </c>
      <c r="H44" s="10"/>
      <c r="I44" s="10"/>
    </row>
    <row r="45" customFormat="false" ht="15" hidden="false" customHeight="false" outlineLevel="0" collapsed="false">
      <c r="A45" s="10" t="s">
        <v>268</v>
      </c>
      <c r="B45" s="9" t="s">
        <v>269</v>
      </c>
      <c r="C45" s="11" t="s">
        <v>182</v>
      </c>
      <c r="D45" s="12" t="s">
        <v>137</v>
      </c>
      <c r="E45" s="10" t="s">
        <v>138</v>
      </c>
      <c r="F45" s="12" t="s">
        <v>185</v>
      </c>
      <c r="G45" s="10" t="s">
        <v>271</v>
      </c>
      <c r="H45" s="10"/>
      <c r="I45" s="10"/>
    </row>
    <row r="46" customFormat="false" ht="15" hidden="false" customHeight="false" outlineLevel="0" collapsed="false">
      <c r="A46" s="10" t="s">
        <v>268</v>
      </c>
      <c r="B46" s="9" t="s">
        <v>269</v>
      </c>
      <c r="C46" s="11" t="s">
        <v>182</v>
      </c>
      <c r="D46" s="12" t="s">
        <v>88</v>
      </c>
      <c r="E46" s="10" t="s">
        <v>89</v>
      </c>
      <c r="F46" s="12" t="s">
        <v>185</v>
      </c>
      <c r="G46" s="10" t="s">
        <v>271</v>
      </c>
      <c r="H46" s="10"/>
      <c r="I46" s="10"/>
    </row>
    <row r="47" customFormat="false" ht="15" hidden="false" customHeight="false" outlineLevel="0" collapsed="false">
      <c r="A47" s="10" t="s">
        <v>268</v>
      </c>
      <c r="B47" s="9" t="s">
        <v>269</v>
      </c>
      <c r="C47" s="13" t="s">
        <v>182</v>
      </c>
      <c r="D47" s="14" t="s">
        <v>274</v>
      </c>
      <c r="E47" s="10"/>
      <c r="F47" s="14" t="s">
        <v>190</v>
      </c>
      <c r="G47" s="10" t="s">
        <v>271</v>
      </c>
      <c r="H47" s="10"/>
      <c r="I47" s="10"/>
    </row>
    <row r="48" customFormat="false" ht="15" hidden="false" customHeight="false" outlineLevel="0" collapsed="false">
      <c r="A48" s="10" t="s">
        <v>268</v>
      </c>
      <c r="B48" s="9" t="s">
        <v>269</v>
      </c>
      <c r="C48" s="11" t="s">
        <v>182</v>
      </c>
      <c r="D48" s="12" t="s">
        <v>126</v>
      </c>
      <c r="E48" s="10" t="s">
        <v>127</v>
      </c>
      <c r="F48" s="12" t="s">
        <v>185</v>
      </c>
      <c r="G48" s="10" t="s">
        <v>271</v>
      </c>
      <c r="H48" s="10"/>
      <c r="I48" s="10"/>
    </row>
    <row r="49" customFormat="false" ht="15" hidden="false" customHeight="false" outlineLevel="0" collapsed="false">
      <c r="A49" s="10" t="s">
        <v>268</v>
      </c>
      <c r="B49" s="9" t="s">
        <v>269</v>
      </c>
      <c r="C49" s="13" t="s">
        <v>182</v>
      </c>
      <c r="D49" s="14" t="s">
        <v>275</v>
      </c>
      <c r="E49" s="10" t="s">
        <v>276</v>
      </c>
      <c r="F49" s="14" t="s">
        <v>190</v>
      </c>
      <c r="G49" s="10" t="s">
        <v>271</v>
      </c>
      <c r="H49" s="10"/>
      <c r="I49" s="10"/>
    </row>
    <row r="50" customFormat="false" ht="15" hidden="false" customHeight="false" outlineLevel="0" collapsed="false">
      <c r="A50" s="10" t="s">
        <v>268</v>
      </c>
      <c r="B50" s="9" t="s">
        <v>269</v>
      </c>
      <c r="C50" s="15" t="s">
        <v>194</v>
      </c>
      <c r="D50" s="16" t="s">
        <v>277</v>
      </c>
      <c r="E50" s="9" t="s">
        <v>278</v>
      </c>
      <c r="F50" s="15" t="s">
        <v>197</v>
      </c>
      <c r="G50" s="10" t="s">
        <v>279</v>
      </c>
      <c r="H50" s="10"/>
      <c r="I50" s="10"/>
    </row>
    <row r="51" customFormat="false" ht="15" hidden="false" customHeight="false" outlineLevel="0" collapsed="false">
      <c r="A51" s="10" t="s">
        <v>268</v>
      </c>
      <c r="B51" s="9" t="s">
        <v>269</v>
      </c>
      <c r="C51" s="17" t="s">
        <v>203</v>
      </c>
      <c r="D51" s="18" t="s">
        <v>280</v>
      </c>
      <c r="E51" s="10" t="s">
        <v>281</v>
      </c>
      <c r="F51" s="17" t="s">
        <v>206</v>
      </c>
      <c r="G51" s="10" t="s">
        <v>282</v>
      </c>
      <c r="H51" s="10" t="s">
        <v>283</v>
      </c>
      <c r="I51" s="9" t="s">
        <v>284</v>
      </c>
    </row>
    <row r="52" customFormat="false" ht="15" hidden="false" customHeight="false" outlineLevel="0" collapsed="false">
      <c r="A52" s="10" t="s">
        <v>268</v>
      </c>
      <c r="B52" s="9" t="s">
        <v>269</v>
      </c>
      <c r="C52" s="17" t="s">
        <v>203</v>
      </c>
      <c r="D52" s="18" t="s">
        <v>285</v>
      </c>
      <c r="E52" s="9" t="s">
        <v>286</v>
      </c>
      <c r="F52" s="17" t="s">
        <v>206</v>
      </c>
      <c r="G52" s="10" t="s">
        <v>235</v>
      </c>
      <c r="H52" s="10"/>
      <c r="I52" s="10"/>
    </row>
    <row r="53" customFormat="false" ht="15" hidden="false" customHeight="false" outlineLevel="0" collapsed="false">
      <c r="A53" s="10" t="s">
        <v>268</v>
      </c>
      <c r="B53" s="9" t="s">
        <v>269</v>
      </c>
      <c r="C53" s="10" t="s">
        <v>209</v>
      </c>
      <c r="D53" s="10" t="s">
        <v>287</v>
      </c>
      <c r="E53" s="9" t="s">
        <v>288</v>
      </c>
      <c r="F53" s="9" t="s">
        <v>84</v>
      </c>
      <c r="G53" s="10" t="s">
        <v>212</v>
      </c>
      <c r="H53" s="10"/>
      <c r="I53" s="10"/>
    </row>
    <row r="54" customFormat="false" ht="15" hidden="false" customHeight="false" outlineLevel="0" collapsed="false">
      <c r="A54" s="10" t="s">
        <v>289</v>
      </c>
      <c r="B54" s="9" t="s">
        <v>290</v>
      </c>
      <c r="C54" s="11" t="s">
        <v>291</v>
      </c>
      <c r="D54" s="12" t="s">
        <v>96</v>
      </c>
      <c r="E54" s="10" t="s">
        <v>292</v>
      </c>
      <c r="F54" s="12" t="s">
        <v>185</v>
      </c>
      <c r="G54" s="10" t="s">
        <v>271</v>
      </c>
      <c r="H54" s="10"/>
      <c r="I54" s="10"/>
    </row>
    <row r="55" customFormat="false" ht="15" hidden="false" customHeight="false" outlineLevel="0" collapsed="false">
      <c r="A55" s="10" t="s">
        <v>289</v>
      </c>
      <c r="B55" s="9" t="s">
        <v>290</v>
      </c>
      <c r="C55" s="11" t="s">
        <v>291</v>
      </c>
      <c r="D55" s="12" t="s">
        <v>293</v>
      </c>
      <c r="E55" s="10" t="s">
        <v>294</v>
      </c>
      <c r="F55" s="12" t="s">
        <v>185</v>
      </c>
      <c r="G55" s="10" t="s">
        <v>271</v>
      </c>
      <c r="H55" s="10"/>
      <c r="I55" s="10"/>
    </row>
    <row r="56" customFormat="false" ht="15" hidden="false" customHeight="false" outlineLevel="0" collapsed="false">
      <c r="A56" s="10" t="s">
        <v>289</v>
      </c>
      <c r="B56" s="9" t="s">
        <v>290</v>
      </c>
      <c r="C56" s="11" t="s">
        <v>291</v>
      </c>
      <c r="D56" s="12" t="s">
        <v>137</v>
      </c>
      <c r="E56" s="10" t="s">
        <v>138</v>
      </c>
      <c r="F56" s="12" t="s">
        <v>185</v>
      </c>
      <c r="G56" s="10" t="s">
        <v>271</v>
      </c>
      <c r="H56" s="10"/>
      <c r="I56" s="10"/>
    </row>
    <row r="57" customFormat="false" ht="15" hidden="false" customHeight="false" outlineLevel="0" collapsed="false">
      <c r="A57" s="10" t="s">
        <v>289</v>
      </c>
      <c r="B57" s="9" t="s">
        <v>290</v>
      </c>
      <c r="C57" s="11" t="s">
        <v>291</v>
      </c>
      <c r="D57" s="12" t="s">
        <v>104</v>
      </c>
      <c r="E57" s="10"/>
      <c r="F57" s="12" t="s">
        <v>185</v>
      </c>
      <c r="G57" s="10" t="s">
        <v>271</v>
      </c>
      <c r="H57" s="10"/>
      <c r="I57" s="10"/>
    </row>
    <row r="58" customFormat="false" ht="15" hidden="false" customHeight="false" outlineLevel="0" collapsed="false">
      <c r="A58" s="10" t="s">
        <v>289</v>
      </c>
      <c r="B58" s="9" t="s">
        <v>290</v>
      </c>
      <c r="C58" s="13" t="s">
        <v>291</v>
      </c>
      <c r="D58" s="14" t="s">
        <v>295</v>
      </c>
      <c r="E58" s="10"/>
      <c r="F58" s="14" t="s">
        <v>190</v>
      </c>
      <c r="G58" s="10" t="s">
        <v>271</v>
      </c>
      <c r="H58" s="10"/>
      <c r="I58" s="10"/>
    </row>
    <row r="59" customFormat="false" ht="15" hidden="false" customHeight="false" outlineLevel="0" collapsed="false">
      <c r="A59" s="10" t="s">
        <v>289</v>
      </c>
      <c r="B59" s="9" t="s">
        <v>290</v>
      </c>
      <c r="C59" s="15" t="s">
        <v>194</v>
      </c>
      <c r="D59" s="16" t="s">
        <v>296</v>
      </c>
      <c r="E59" s="9" t="s">
        <v>297</v>
      </c>
      <c r="F59" s="15" t="s">
        <v>197</v>
      </c>
      <c r="G59" s="10" t="s">
        <v>298</v>
      </c>
      <c r="H59" s="10"/>
      <c r="I59" s="10" t="s">
        <v>299</v>
      </c>
    </row>
    <row r="60" customFormat="false" ht="15" hidden="false" customHeight="false" outlineLevel="0" collapsed="false">
      <c r="A60" s="10" t="s">
        <v>289</v>
      </c>
      <c r="B60" s="9" t="s">
        <v>290</v>
      </c>
      <c r="C60" s="17" t="s">
        <v>203</v>
      </c>
      <c r="D60" s="18" t="s">
        <v>300</v>
      </c>
      <c r="E60" s="9" t="s">
        <v>301</v>
      </c>
      <c r="F60" s="17" t="s">
        <v>206</v>
      </c>
      <c r="G60" s="10" t="s">
        <v>235</v>
      </c>
      <c r="H60" s="10"/>
      <c r="I60" s="9" t="s">
        <v>302</v>
      </c>
    </row>
    <row r="61" customFormat="false" ht="15" hidden="false" customHeight="false" outlineLevel="0" collapsed="false">
      <c r="A61" s="10" t="s">
        <v>289</v>
      </c>
      <c r="B61" s="9" t="s">
        <v>290</v>
      </c>
      <c r="C61" s="17" t="s">
        <v>203</v>
      </c>
      <c r="D61" s="18" t="s">
        <v>303</v>
      </c>
      <c r="E61" s="9" t="s">
        <v>304</v>
      </c>
      <c r="F61" s="17" t="s">
        <v>206</v>
      </c>
      <c r="G61" s="10" t="s">
        <v>305</v>
      </c>
      <c r="H61" s="10"/>
      <c r="I61" s="10"/>
    </row>
    <row r="62" customFormat="false" ht="15" hidden="false" customHeight="false" outlineLevel="0" collapsed="false">
      <c r="A62" s="10" t="s">
        <v>289</v>
      </c>
      <c r="B62" s="9" t="s">
        <v>290</v>
      </c>
      <c r="C62" s="10" t="s">
        <v>209</v>
      </c>
      <c r="D62" s="10" t="s">
        <v>306</v>
      </c>
      <c r="E62" s="10"/>
      <c r="F62" s="9" t="s">
        <v>84</v>
      </c>
      <c r="G62" s="10" t="s">
        <v>212</v>
      </c>
      <c r="H62" s="10"/>
      <c r="I62" s="10"/>
    </row>
    <row r="63" customFormat="false" ht="15" hidden="false" customHeight="false" outlineLevel="0" collapsed="false">
      <c r="A63" s="10" t="s">
        <v>307</v>
      </c>
      <c r="B63" s="9" t="s">
        <v>308</v>
      </c>
      <c r="C63" s="11" t="s">
        <v>291</v>
      </c>
      <c r="D63" s="12" t="s">
        <v>137</v>
      </c>
      <c r="E63" s="10" t="s">
        <v>138</v>
      </c>
      <c r="F63" s="12" t="s">
        <v>185</v>
      </c>
      <c r="G63" s="10" t="s">
        <v>271</v>
      </c>
      <c r="H63" s="10"/>
      <c r="I63" s="10"/>
    </row>
    <row r="64" customFormat="false" ht="15" hidden="false" customHeight="false" outlineLevel="0" collapsed="false">
      <c r="A64" s="10" t="s">
        <v>307</v>
      </c>
      <c r="B64" s="9" t="s">
        <v>308</v>
      </c>
      <c r="C64" s="11" t="s">
        <v>291</v>
      </c>
      <c r="D64" s="12" t="s">
        <v>309</v>
      </c>
      <c r="E64" s="10"/>
      <c r="F64" s="12" t="s">
        <v>185</v>
      </c>
      <c r="G64" s="10" t="s">
        <v>271</v>
      </c>
      <c r="H64" s="10"/>
      <c r="I64" s="10"/>
    </row>
    <row r="65" customFormat="false" ht="15" hidden="false" customHeight="false" outlineLevel="0" collapsed="false">
      <c r="A65" s="10" t="s">
        <v>307</v>
      </c>
      <c r="B65" s="9" t="s">
        <v>308</v>
      </c>
      <c r="C65" s="11" t="s">
        <v>291</v>
      </c>
      <c r="D65" s="12" t="s">
        <v>96</v>
      </c>
      <c r="E65" s="10" t="s">
        <v>310</v>
      </c>
      <c r="F65" s="12" t="s">
        <v>185</v>
      </c>
      <c r="G65" s="10" t="s">
        <v>271</v>
      </c>
      <c r="H65" s="10"/>
      <c r="I65" s="10"/>
    </row>
    <row r="66" customFormat="false" ht="15" hidden="false" customHeight="false" outlineLevel="0" collapsed="false">
      <c r="A66" s="10" t="s">
        <v>307</v>
      </c>
      <c r="B66" s="9" t="s">
        <v>308</v>
      </c>
      <c r="C66" s="11" t="s">
        <v>291</v>
      </c>
      <c r="D66" s="12" t="s">
        <v>104</v>
      </c>
      <c r="E66" s="9" t="s">
        <v>311</v>
      </c>
      <c r="F66" s="12" t="s">
        <v>185</v>
      </c>
      <c r="G66" s="10" t="s">
        <v>271</v>
      </c>
      <c r="H66" s="10"/>
      <c r="I66" s="10"/>
    </row>
    <row r="67" customFormat="false" ht="15" hidden="false" customHeight="false" outlineLevel="0" collapsed="false">
      <c r="A67" s="10" t="s">
        <v>307</v>
      </c>
      <c r="B67" s="9" t="s">
        <v>308</v>
      </c>
      <c r="C67" s="13" t="s">
        <v>291</v>
      </c>
      <c r="D67" s="14" t="s">
        <v>88</v>
      </c>
      <c r="E67" s="9" t="s">
        <v>312</v>
      </c>
      <c r="F67" s="14" t="s">
        <v>190</v>
      </c>
      <c r="G67" s="10" t="s">
        <v>271</v>
      </c>
      <c r="H67" s="10"/>
      <c r="I67" s="10"/>
    </row>
    <row r="68" customFormat="false" ht="15" hidden="false" customHeight="false" outlineLevel="0" collapsed="false">
      <c r="A68" s="10" t="s">
        <v>307</v>
      </c>
      <c r="B68" s="9" t="s">
        <v>308</v>
      </c>
      <c r="C68" s="13" t="s">
        <v>291</v>
      </c>
      <c r="D68" s="14" t="s">
        <v>313</v>
      </c>
      <c r="E68" s="10" t="s">
        <v>314</v>
      </c>
      <c r="F68" s="14" t="s">
        <v>190</v>
      </c>
      <c r="G68" s="10" t="s">
        <v>271</v>
      </c>
      <c r="H68" s="10"/>
      <c r="I68" s="10"/>
    </row>
    <row r="69" customFormat="false" ht="29.85" hidden="false" customHeight="false" outlineLevel="0" collapsed="false">
      <c r="A69" s="10" t="s">
        <v>307</v>
      </c>
      <c r="B69" s="9" t="s">
        <v>308</v>
      </c>
      <c r="C69" s="15" t="s">
        <v>194</v>
      </c>
      <c r="D69" s="16" t="s">
        <v>315</v>
      </c>
      <c r="E69" s="10" t="s">
        <v>316</v>
      </c>
      <c r="F69" s="15" t="s">
        <v>197</v>
      </c>
      <c r="G69" s="10" t="s">
        <v>317</v>
      </c>
      <c r="H69" s="10"/>
      <c r="I69" s="10" t="s">
        <v>318</v>
      </c>
    </row>
    <row r="70" customFormat="false" ht="15" hidden="false" customHeight="false" outlineLevel="0" collapsed="false">
      <c r="A70" s="10" t="s">
        <v>307</v>
      </c>
      <c r="B70" s="9" t="s">
        <v>308</v>
      </c>
      <c r="C70" s="17" t="s">
        <v>203</v>
      </c>
      <c r="D70" s="18" t="s">
        <v>319</v>
      </c>
      <c r="E70" s="9" t="s">
        <v>320</v>
      </c>
      <c r="F70" s="17" t="s">
        <v>206</v>
      </c>
      <c r="G70" s="10" t="s">
        <v>235</v>
      </c>
      <c r="H70" s="10"/>
      <c r="I70" s="10"/>
    </row>
    <row r="71" customFormat="false" ht="15" hidden="false" customHeight="false" outlineLevel="0" collapsed="false">
      <c r="A71" s="10" t="s">
        <v>307</v>
      </c>
      <c r="B71" s="9" t="s">
        <v>308</v>
      </c>
      <c r="C71" s="17" t="s">
        <v>203</v>
      </c>
      <c r="D71" s="18" t="s">
        <v>321</v>
      </c>
      <c r="E71" s="9" t="s">
        <v>322</v>
      </c>
      <c r="F71" s="17" t="s">
        <v>206</v>
      </c>
      <c r="G71" s="10" t="s">
        <v>235</v>
      </c>
      <c r="H71" s="10"/>
      <c r="I71" s="10"/>
    </row>
    <row r="72" customFormat="false" ht="15" hidden="false" customHeight="false" outlineLevel="0" collapsed="false">
      <c r="A72" s="10" t="s">
        <v>307</v>
      </c>
      <c r="B72" s="9" t="s">
        <v>308</v>
      </c>
      <c r="C72" s="17" t="s">
        <v>203</v>
      </c>
      <c r="D72" s="18" t="s">
        <v>259</v>
      </c>
      <c r="E72" s="9" t="s">
        <v>323</v>
      </c>
      <c r="F72" s="17" t="s">
        <v>206</v>
      </c>
      <c r="G72" s="10" t="s">
        <v>235</v>
      </c>
      <c r="H72" s="10"/>
      <c r="I72" s="10"/>
    </row>
    <row r="73" customFormat="false" ht="15" hidden="false" customHeight="false" outlineLevel="0" collapsed="false">
      <c r="A73" s="10" t="s">
        <v>307</v>
      </c>
      <c r="B73" s="9" t="s">
        <v>308</v>
      </c>
      <c r="C73" s="17" t="s">
        <v>203</v>
      </c>
      <c r="D73" s="18" t="s">
        <v>262</v>
      </c>
      <c r="E73" s="9" t="s">
        <v>324</v>
      </c>
      <c r="F73" s="17" t="s">
        <v>206</v>
      </c>
      <c r="G73" s="10" t="s">
        <v>235</v>
      </c>
      <c r="H73" s="10"/>
      <c r="I73" s="10"/>
    </row>
    <row r="74" customFormat="false" ht="15" hidden="false" customHeight="false" outlineLevel="0" collapsed="false">
      <c r="A74" s="10" t="s">
        <v>307</v>
      </c>
      <c r="B74" s="9" t="s">
        <v>308</v>
      </c>
      <c r="C74" s="10" t="s">
        <v>209</v>
      </c>
      <c r="D74" s="10" t="s">
        <v>325</v>
      </c>
      <c r="E74" s="10" t="s">
        <v>326</v>
      </c>
      <c r="F74" s="9" t="s">
        <v>84</v>
      </c>
      <c r="G74" s="10" t="s">
        <v>212</v>
      </c>
      <c r="H74" s="10"/>
      <c r="I74" s="10"/>
    </row>
  </sheetData>
  <autoFilter ref="A1:I7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8" min="2" style="0" width="14"/>
  </cols>
  <sheetData>
    <row r="1" customFormat="false" ht="15" hidden="false" customHeight="false" outlineLevel="0" collapsed="false">
      <c r="A1" s="7" t="s">
        <v>327</v>
      </c>
      <c r="B1" s="7" t="s">
        <v>180</v>
      </c>
      <c r="C1" s="7" t="s">
        <v>213</v>
      </c>
      <c r="D1" s="7" t="s">
        <v>237</v>
      </c>
      <c r="E1" s="7" t="s">
        <v>251</v>
      </c>
      <c r="F1" s="7" t="s">
        <v>268</v>
      </c>
      <c r="G1" s="7" t="s">
        <v>328</v>
      </c>
      <c r="H1" s="7" t="s">
        <v>307</v>
      </c>
    </row>
    <row r="2" customFormat="false" ht="15" hidden="false" customHeight="false" outlineLevel="0" collapsed="false">
      <c r="A2" s="9" t="s">
        <v>52</v>
      </c>
      <c r="B2" s="19" t="s">
        <v>185</v>
      </c>
      <c r="C2" s="19" t="s">
        <v>185</v>
      </c>
      <c r="D2" s="20" t="s">
        <v>329</v>
      </c>
      <c r="E2" s="20" t="s">
        <v>255</v>
      </c>
      <c r="F2" s="19" t="s">
        <v>185</v>
      </c>
      <c r="G2" s="19" t="s">
        <v>185</v>
      </c>
      <c r="H2" s="19" t="s">
        <v>185</v>
      </c>
    </row>
    <row r="3" customFormat="false" ht="15" hidden="false" customHeight="false" outlineLevel="0" collapsed="false">
      <c r="A3" s="9" t="s">
        <v>61</v>
      </c>
      <c r="B3" s="19" t="s">
        <v>185</v>
      </c>
      <c r="C3" s="19" t="s">
        <v>185</v>
      </c>
      <c r="D3" s="20" t="s">
        <v>329</v>
      </c>
      <c r="E3" s="20" t="s">
        <v>255</v>
      </c>
      <c r="F3" s="21" t="s">
        <v>190</v>
      </c>
      <c r="G3" s="19" t="s">
        <v>185</v>
      </c>
      <c r="H3" s="19" t="s">
        <v>185</v>
      </c>
    </row>
    <row r="4" customFormat="false" ht="15" hidden="false" customHeight="false" outlineLevel="0" collapsed="false">
      <c r="A4" s="9" t="s">
        <v>69</v>
      </c>
      <c r="B4" s="19" t="s">
        <v>185</v>
      </c>
      <c r="C4" s="19" t="s">
        <v>185</v>
      </c>
      <c r="D4" s="20" t="s">
        <v>329</v>
      </c>
      <c r="E4" s="20" t="s">
        <v>255</v>
      </c>
      <c r="F4" s="21" t="s">
        <v>190</v>
      </c>
      <c r="G4" s="19" t="s">
        <v>185</v>
      </c>
      <c r="H4" s="19" t="s">
        <v>185</v>
      </c>
    </row>
    <row r="5" customFormat="false" ht="15" hidden="false" customHeight="false" outlineLevel="0" collapsed="false">
      <c r="A5" s="9" t="s">
        <v>79</v>
      </c>
      <c r="B5" s="21" t="s">
        <v>190</v>
      </c>
      <c r="C5" s="19" t="s">
        <v>185</v>
      </c>
      <c r="D5" s="20" t="s">
        <v>329</v>
      </c>
      <c r="E5" s="20" t="s">
        <v>255</v>
      </c>
      <c r="F5" s="21" t="s">
        <v>190</v>
      </c>
      <c r="G5" s="19" t="s">
        <v>185</v>
      </c>
      <c r="H5" s="19" t="s">
        <v>185</v>
      </c>
    </row>
    <row r="6" customFormat="false" ht="15" hidden="false" customHeight="false" outlineLevel="0" collapsed="false">
      <c r="A6" s="9" t="s">
        <v>88</v>
      </c>
      <c r="B6" s="19" t="s">
        <v>185</v>
      </c>
      <c r="C6" s="19" t="s">
        <v>185</v>
      </c>
      <c r="D6" s="22" t="s">
        <v>84</v>
      </c>
      <c r="E6" s="22" t="s">
        <v>84</v>
      </c>
      <c r="F6" s="19" t="s">
        <v>185</v>
      </c>
      <c r="G6" s="21" t="s">
        <v>190</v>
      </c>
      <c r="H6" s="21" t="s">
        <v>190</v>
      </c>
    </row>
    <row r="7" customFormat="false" ht="15" hidden="false" customHeight="false" outlineLevel="0" collapsed="false">
      <c r="A7" s="9" t="s">
        <v>96</v>
      </c>
      <c r="B7" s="19" t="s">
        <v>185</v>
      </c>
      <c r="C7" s="21" t="s">
        <v>190</v>
      </c>
      <c r="D7" s="21" t="s">
        <v>190</v>
      </c>
      <c r="E7" s="22" t="s">
        <v>84</v>
      </c>
      <c r="F7" s="21" t="s">
        <v>190</v>
      </c>
      <c r="G7" s="19" t="s">
        <v>185</v>
      </c>
      <c r="H7" s="19" t="s">
        <v>185</v>
      </c>
    </row>
    <row r="8" customFormat="false" ht="15" hidden="false" customHeight="false" outlineLevel="0" collapsed="false">
      <c r="A8" s="9" t="s">
        <v>104</v>
      </c>
      <c r="B8" s="19" t="s">
        <v>185</v>
      </c>
      <c r="C8" s="19" t="s">
        <v>185</v>
      </c>
      <c r="D8" s="19" t="s">
        <v>185</v>
      </c>
      <c r="E8" s="22" t="s">
        <v>84</v>
      </c>
      <c r="F8" s="21" t="s">
        <v>190</v>
      </c>
      <c r="G8" s="19" t="s">
        <v>185</v>
      </c>
      <c r="H8" s="19" t="s">
        <v>185</v>
      </c>
    </row>
    <row r="9" customFormat="false" ht="15" hidden="false" customHeight="false" outlineLevel="0" collapsed="false">
      <c r="A9" s="9" t="s">
        <v>110</v>
      </c>
      <c r="B9" s="19" t="s">
        <v>185</v>
      </c>
      <c r="C9" s="19" t="s">
        <v>185</v>
      </c>
      <c r="D9" s="21" t="s">
        <v>190</v>
      </c>
      <c r="E9" s="22" t="s">
        <v>84</v>
      </c>
      <c r="F9" s="22" t="s">
        <v>84</v>
      </c>
      <c r="G9" s="21" t="s">
        <v>190</v>
      </c>
      <c r="H9" s="22" t="s">
        <v>84</v>
      </c>
    </row>
    <row r="10" customFormat="false" ht="15" hidden="false" customHeight="false" outlineLevel="0" collapsed="false">
      <c r="A10" s="9" t="s">
        <v>115</v>
      </c>
      <c r="B10" s="19" t="s">
        <v>185</v>
      </c>
      <c r="C10" s="21" t="s">
        <v>190</v>
      </c>
      <c r="D10" s="22" t="s">
        <v>84</v>
      </c>
      <c r="E10" s="22" t="s">
        <v>84</v>
      </c>
      <c r="F10" s="21" t="s">
        <v>190</v>
      </c>
      <c r="G10" s="22" t="s">
        <v>84</v>
      </c>
      <c r="H10" s="22" t="s">
        <v>84</v>
      </c>
    </row>
    <row r="11" customFormat="false" ht="15" hidden="false" customHeight="false" outlineLevel="0" collapsed="false">
      <c r="A11" s="9" t="s">
        <v>122</v>
      </c>
      <c r="B11" s="21" t="s">
        <v>190</v>
      </c>
      <c r="C11" s="19" t="s">
        <v>185</v>
      </c>
      <c r="D11" s="22" t="s">
        <v>84</v>
      </c>
      <c r="E11" s="22" t="s">
        <v>84</v>
      </c>
      <c r="F11" s="21" t="s">
        <v>190</v>
      </c>
      <c r="G11" s="22" t="s">
        <v>84</v>
      </c>
      <c r="H11" s="22" t="s">
        <v>84</v>
      </c>
    </row>
    <row r="12" customFormat="false" ht="15" hidden="false" customHeight="false" outlineLevel="0" collapsed="false">
      <c r="A12" s="9" t="s">
        <v>126</v>
      </c>
      <c r="B12" s="22" t="s">
        <v>84</v>
      </c>
      <c r="C12" s="22" t="s">
        <v>84</v>
      </c>
      <c r="D12" s="22" t="s">
        <v>84</v>
      </c>
      <c r="E12" s="22" t="s">
        <v>84</v>
      </c>
      <c r="F12" s="19" t="s">
        <v>185</v>
      </c>
      <c r="G12" s="22" t="s">
        <v>84</v>
      </c>
      <c r="H12" s="22" t="s">
        <v>84</v>
      </c>
    </row>
    <row r="13" customFormat="false" ht="15" hidden="false" customHeight="false" outlineLevel="0" collapsed="false">
      <c r="A13" s="9" t="s">
        <v>130</v>
      </c>
      <c r="B13" s="23" t="s">
        <v>330</v>
      </c>
      <c r="C13" s="19" t="s">
        <v>185</v>
      </c>
      <c r="D13" s="22" t="s">
        <v>84</v>
      </c>
      <c r="E13" s="20" t="s">
        <v>255</v>
      </c>
      <c r="F13" s="19" t="s">
        <v>185</v>
      </c>
      <c r="G13" s="21" t="s">
        <v>190</v>
      </c>
      <c r="H13" s="21" t="s">
        <v>190</v>
      </c>
    </row>
    <row r="14" customFormat="false" ht="15" hidden="false" customHeight="false" outlineLevel="0" collapsed="false">
      <c r="A14" s="9" t="s">
        <v>137</v>
      </c>
      <c r="B14" s="21" t="s">
        <v>190</v>
      </c>
      <c r="C14" s="23" t="s">
        <v>330</v>
      </c>
      <c r="D14" s="22" t="s">
        <v>84</v>
      </c>
      <c r="E14" s="20" t="s">
        <v>255</v>
      </c>
      <c r="F14" s="19" t="s">
        <v>185</v>
      </c>
      <c r="G14" s="19" t="s">
        <v>185</v>
      </c>
      <c r="H14" s="19" t="s">
        <v>185</v>
      </c>
    </row>
    <row r="15" customFormat="false" ht="15" hidden="false" customHeight="false" outlineLevel="0" collapsed="false">
      <c r="A15" s="9" t="s">
        <v>331</v>
      </c>
      <c r="B15" s="19" t="s">
        <v>185</v>
      </c>
      <c r="C15" s="19" t="s">
        <v>185</v>
      </c>
      <c r="D15" s="19" t="s">
        <v>185</v>
      </c>
      <c r="E15" s="22" t="s">
        <v>84</v>
      </c>
      <c r="F15" s="21" t="s">
        <v>190</v>
      </c>
      <c r="G15" s="19" t="s">
        <v>185</v>
      </c>
      <c r="H15" s="21" t="s">
        <v>190</v>
      </c>
    </row>
    <row r="16" customFormat="false" ht="15" hidden="false" customHeight="false" outlineLevel="0" collapsed="false">
      <c r="A16" s="9" t="s">
        <v>152</v>
      </c>
      <c r="B16" s="19" t="s">
        <v>332</v>
      </c>
      <c r="C16" s="19" t="s">
        <v>333</v>
      </c>
      <c r="D16" s="19" t="s">
        <v>185</v>
      </c>
      <c r="E16" s="22" t="s">
        <v>84</v>
      </c>
      <c r="F16" s="21" t="s">
        <v>190</v>
      </c>
      <c r="G16" s="19" t="s">
        <v>185</v>
      </c>
      <c r="H16" s="21" t="s">
        <v>190</v>
      </c>
    </row>
    <row r="17" customFormat="false" ht="15" hidden="false" customHeight="false" outlineLevel="0" collapsed="false">
      <c r="A17" s="9" t="s">
        <v>166</v>
      </c>
      <c r="B17" s="20" t="s">
        <v>334</v>
      </c>
      <c r="C17" s="20" t="s">
        <v>334</v>
      </c>
      <c r="D17" s="20" t="s">
        <v>334</v>
      </c>
      <c r="E17" s="22" t="s">
        <v>84</v>
      </c>
      <c r="F17" s="20" t="s">
        <v>334</v>
      </c>
      <c r="G17" s="22" t="s">
        <v>84</v>
      </c>
      <c r="H17" s="22" t="s">
        <v>84</v>
      </c>
    </row>
    <row r="18" customFormat="false" ht="15" hidden="false" customHeight="false" outlineLevel="0" collapsed="false">
      <c r="A18" s="10" t="s">
        <v>335</v>
      </c>
      <c r="B18" s="23" t="s">
        <v>330</v>
      </c>
      <c r="C18" s="22" t="s">
        <v>84</v>
      </c>
      <c r="D18" s="22" t="s">
        <v>84</v>
      </c>
      <c r="E18" s="20" t="s">
        <v>255</v>
      </c>
      <c r="F18" s="20" t="s">
        <v>206</v>
      </c>
      <c r="G18" s="22" t="s">
        <v>84</v>
      </c>
      <c r="H18" s="22" t="s">
        <v>84</v>
      </c>
    </row>
    <row r="19" customFormat="false" ht="15" hidden="false" customHeight="false" outlineLevel="0" collapsed="false">
      <c r="A19" s="10" t="s">
        <v>336</v>
      </c>
      <c r="B19" s="22" t="s">
        <v>84</v>
      </c>
      <c r="C19" s="23" t="s">
        <v>330</v>
      </c>
      <c r="D19" s="22" t="s">
        <v>84</v>
      </c>
      <c r="E19" s="20" t="s">
        <v>255</v>
      </c>
      <c r="F19" s="20" t="s">
        <v>206</v>
      </c>
      <c r="G19" s="22" t="s">
        <v>84</v>
      </c>
      <c r="H19" s="22" t="s">
        <v>84</v>
      </c>
    </row>
    <row r="20" customFormat="false" ht="15" hidden="false" customHeight="false" outlineLevel="0" collapsed="false">
      <c r="A20" s="10" t="s">
        <v>316</v>
      </c>
      <c r="B20" s="22" t="s">
        <v>84</v>
      </c>
      <c r="C20" s="22" t="s">
        <v>84</v>
      </c>
      <c r="D20" s="22" t="s">
        <v>84</v>
      </c>
      <c r="E20" s="20" t="s">
        <v>255</v>
      </c>
      <c r="F20" s="22" t="s">
        <v>84</v>
      </c>
      <c r="G20" s="20" t="s">
        <v>337</v>
      </c>
      <c r="H20" s="23" t="s">
        <v>330</v>
      </c>
    </row>
    <row r="21" customFormat="false" ht="15" hidden="false" customHeight="false" outlineLevel="0" collapsed="false">
      <c r="A21" s="9" t="s">
        <v>338</v>
      </c>
      <c r="B21" s="22" t="s">
        <v>84</v>
      </c>
      <c r="C21" s="22" t="s">
        <v>84</v>
      </c>
      <c r="D21" s="22" t="s">
        <v>84</v>
      </c>
      <c r="E21" s="22" t="s">
        <v>84</v>
      </c>
      <c r="F21" s="23" t="s">
        <v>330</v>
      </c>
      <c r="G21" s="22" t="s">
        <v>84</v>
      </c>
      <c r="H21" s="22" t="s">
        <v>84</v>
      </c>
    </row>
    <row r="22" customFormat="false" ht="15" hidden="false" customHeight="false" outlineLevel="0" collapsed="false">
      <c r="A22" s="9" t="s">
        <v>339</v>
      </c>
      <c r="B22" s="22" t="s">
        <v>84</v>
      </c>
      <c r="C22" s="22" t="s">
        <v>84</v>
      </c>
      <c r="D22" s="22" t="s">
        <v>84</v>
      </c>
      <c r="E22" s="22" t="s">
        <v>84</v>
      </c>
      <c r="F22" s="22" t="s">
        <v>84</v>
      </c>
      <c r="G22" s="23" t="s">
        <v>340</v>
      </c>
      <c r="H22" s="22" t="s">
        <v>84</v>
      </c>
    </row>
    <row r="23" customFormat="false" ht="15" hidden="false" customHeight="false" outlineLevel="0" collapsed="false">
      <c r="A23" s="10" t="s">
        <v>341</v>
      </c>
      <c r="B23" s="22" t="s">
        <v>84</v>
      </c>
      <c r="C23" s="22" t="s">
        <v>84</v>
      </c>
      <c r="D23" s="20" t="s">
        <v>206</v>
      </c>
      <c r="E23" s="22" t="s">
        <v>84</v>
      </c>
      <c r="F23" s="22" t="s">
        <v>84</v>
      </c>
      <c r="G23" s="20" t="s">
        <v>206</v>
      </c>
      <c r="H23" s="22" t="s">
        <v>84</v>
      </c>
    </row>
    <row r="25" customFormat="false" ht="17.15" hidden="false" customHeight="false" outlineLevel="0" collapsed="false">
      <c r="A25" s="24" t="s">
        <v>342</v>
      </c>
      <c r="B25" s="24" t="s">
        <v>343</v>
      </c>
      <c r="C25" s="24" t="s">
        <v>344</v>
      </c>
      <c r="D25" s="24" t="s">
        <v>345</v>
      </c>
      <c r="E25" s="24" t="s">
        <v>346</v>
      </c>
      <c r="F25" s="24" t="s">
        <v>347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0"/>
    <col collapsed="false" customWidth="true" hidden="false" outlineLevel="0" max="3" min="3" style="0" width="12"/>
    <col collapsed="false" customWidth="true" hidden="false" outlineLevel="0" max="4" min="4" style="0" width="22"/>
    <col collapsed="false" customWidth="true" hidden="false" outlineLevel="0" max="5" min="5" style="0" width="24"/>
    <col collapsed="false" customWidth="true" hidden="false" outlineLevel="0" max="6" min="6" style="0" width="16"/>
    <col collapsed="false" customWidth="true" hidden="false" outlineLevel="0" max="7" min="7" style="0" width="24"/>
    <col collapsed="false" customWidth="true" hidden="false" outlineLevel="0" max="8" min="8" style="0" width="20"/>
    <col collapsed="false" customWidth="true" hidden="false" outlineLevel="0" max="9" min="9" style="0" width="30"/>
  </cols>
  <sheetData>
    <row r="1" customFormat="false" ht="15" hidden="false" customHeight="false" outlineLevel="0" collapsed="false">
      <c r="A1" s="8" t="s">
        <v>348</v>
      </c>
      <c r="B1" s="7" t="s">
        <v>329</v>
      </c>
      <c r="C1" s="7" t="s">
        <v>349</v>
      </c>
      <c r="D1" s="7" t="s">
        <v>350</v>
      </c>
      <c r="E1" s="7" t="s">
        <v>351</v>
      </c>
      <c r="F1" s="7" t="s">
        <v>352</v>
      </c>
      <c r="G1" s="7" t="s">
        <v>353</v>
      </c>
      <c r="H1" s="7" t="s">
        <v>354</v>
      </c>
      <c r="I1" s="7" t="s">
        <v>51</v>
      </c>
    </row>
    <row r="2" customFormat="false" ht="15" hidden="false" customHeight="false" outlineLevel="0" collapsed="false">
      <c r="A2" s="9" t="s">
        <v>204</v>
      </c>
      <c r="B2" s="10" t="s">
        <v>355</v>
      </c>
      <c r="C2" s="9" t="s">
        <v>356</v>
      </c>
      <c r="D2" s="9" t="s">
        <v>357</v>
      </c>
      <c r="E2" s="9" t="s">
        <v>358</v>
      </c>
      <c r="F2" s="9" t="s">
        <v>359</v>
      </c>
      <c r="G2" s="10" t="s">
        <v>360</v>
      </c>
      <c r="H2" s="10" t="s">
        <v>207</v>
      </c>
      <c r="I2" s="10" t="s">
        <v>361</v>
      </c>
    </row>
    <row r="3" customFormat="false" ht="15" hidden="false" customHeight="false" outlineLevel="0" collapsed="false">
      <c r="A3" s="9" t="s">
        <v>226</v>
      </c>
      <c r="B3" s="10" t="s">
        <v>362</v>
      </c>
      <c r="C3" s="9" t="s">
        <v>363</v>
      </c>
      <c r="D3" s="9" t="s">
        <v>364</v>
      </c>
      <c r="E3" s="9" t="s">
        <v>365</v>
      </c>
      <c r="F3" s="9" t="s">
        <v>366</v>
      </c>
      <c r="G3" s="10" t="s">
        <v>367</v>
      </c>
      <c r="H3" s="10" t="s">
        <v>228</v>
      </c>
      <c r="I3" s="10"/>
    </row>
    <row r="4" customFormat="false" ht="15" hidden="false" customHeight="false" outlineLevel="0" collapsed="false">
      <c r="A4" s="9" t="s">
        <v>230</v>
      </c>
      <c r="B4" s="10" t="s">
        <v>368</v>
      </c>
      <c r="C4" s="9" t="s">
        <v>363</v>
      </c>
      <c r="D4" s="9" t="s">
        <v>369</v>
      </c>
      <c r="E4" s="9" t="s">
        <v>370</v>
      </c>
      <c r="F4" s="9" t="s">
        <v>371</v>
      </c>
      <c r="G4" s="10" t="s">
        <v>367</v>
      </c>
      <c r="H4" s="10" t="s">
        <v>228</v>
      </c>
      <c r="I4" s="10"/>
    </row>
    <row r="5" customFormat="false" ht="15" hidden="false" customHeight="false" outlineLevel="0" collapsed="false">
      <c r="A5" s="9" t="s">
        <v>233</v>
      </c>
      <c r="B5" s="10" t="s">
        <v>372</v>
      </c>
      <c r="C5" s="9" t="s">
        <v>373</v>
      </c>
      <c r="D5" s="9" t="s">
        <v>374</v>
      </c>
      <c r="E5" s="9" t="s">
        <v>375</v>
      </c>
      <c r="F5" s="9" t="s">
        <v>376</v>
      </c>
      <c r="G5" s="10" t="s">
        <v>367</v>
      </c>
      <c r="H5" s="10" t="s">
        <v>298</v>
      </c>
      <c r="I5" s="10" t="s">
        <v>377</v>
      </c>
    </row>
    <row r="6" customFormat="false" ht="15" hidden="false" customHeight="false" outlineLevel="0" collapsed="false">
      <c r="A6" s="9" t="s">
        <v>69</v>
      </c>
      <c r="B6" s="10" t="s">
        <v>70</v>
      </c>
      <c r="C6" s="9" t="s">
        <v>378</v>
      </c>
      <c r="D6" s="9" t="s">
        <v>379</v>
      </c>
      <c r="E6" s="9" t="s">
        <v>380</v>
      </c>
      <c r="F6" s="9" t="s">
        <v>381</v>
      </c>
      <c r="G6" s="10" t="s">
        <v>382</v>
      </c>
      <c r="H6" s="10" t="s">
        <v>248</v>
      </c>
      <c r="I6" s="9" t="s">
        <v>383</v>
      </c>
    </row>
    <row r="7" customFormat="false" ht="15" hidden="false" customHeight="false" outlineLevel="0" collapsed="false">
      <c r="A7" s="9" t="s">
        <v>384</v>
      </c>
      <c r="B7" s="10" t="s">
        <v>80</v>
      </c>
      <c r="C7" s="9" t="s">
        <v>385</v>
      </c>
      <c r="D7" s="10" t="s">
        <v>386</v>
      </c>
      <c r="E7" s="9" t="s">
        <v>84</v>
      </c>
      <c r="F7" s="10" t="s">
        <v>387</v>
      </c>
      <c r="G7" s="10" t="s">
        <v>388</v>
      </c>
      <c r="H7" s="10" t="s">
        <v>244</v>
      </c>
      <c r="I7" s="10" t="s">
        <v>389</v>
      </c>
    </row>
    <row r="8" customFormat="false" ht="15" hidden="false" customHeight="false" outlineLevel="0" collapsed="false">
      <c r="A8" s="9" t="s">
        <v>319</v>
      </c>
      <c r="B8" s="9" t="s">
        <v>390</v>
      </c>
      <c r="C8" s="9" t="s">
        <v>363</v>
      </c>
      <c r="D8" s="9" t="s">
        <v>391</v>
      </c>
      <c r="E8" s="9" t="s">
        <v>392</v>
      </c>
      <c r="F8" s="9" t="s">
        <v>393</v>
      </c>
      <c r="G8" s="10" t="s">
        <v>394</v>
      </c>
      <c r="H8" s="10" t="s">
        <v>298</v>
      </c>
      <c r="I8" s="10"/>
    </row>
    <row r="9" customFormat="false" ht="15" hidden="false" customHeight="false" outlineLevel="0" collapsed="false">
      <c r="A9" s="9" t="s">
        <v>321</v>
      </c>
      <c r="B9" s="10" t="s">
        <v>395</v>
      </c>
      <c r="C9" s="9" t="s">
        <v>363</v>
      </c>
      <c r="D9" s="9" t="s">
        <v>396</v>
      </c>
      <c r="E9" s="9" t="s">
        <v>397</v>
      </c>
      <c r="F9" s="9" t="s">
        <v>398</v>
      </c>
      <c r="G9" s="10" t="s">
        <v>394</v>
      </c>
      <c r="H9" s="10" t="s">
        <v>298</v>
      </c>
      <c r="I9" s="10"/>
    </row>
    <row r="10" customFormat="false" ht="15" hidden="false" customHeight="false" outlineLevel="0" collapsed="false">
      <c r="A10" s="9" t="s">
        <v>259</v>
      </c>
      <c r="B10" s="10" t="s">
        <v>399</v>
      </c>
      <c r="C10" s="9" t="s">
        <v>363</v>
      </c>
      <c r="D10" s="9" t="s">
        <v>400</v>
      </c>
      <c r="E10" s="9" t="s">
        <v>401</v>
      </c>
      <c r="F10" s="9" t="s">
        <v>371</v>
      </c>
      <c r="G10" s="10" t="s">
        <v>394</v>
      </c>
      <c r="H10" s="10" t="s">
        <v>298</v>
      </c>
      <c r="I10" s="10"/>
    </row>
    <row r="11" customFormat="false" ht="15" hidden="false" customHeight="false" outlineLevel="0" collapsed="false">
      <c r="A11" s="9" t="s">
        <v>262</v>
      </c>
      <c r="B11" s="9" t="s">
        <v>402</v>
      </c>
      <c r="C11" s="9" t="s">
        <v>363</v>
      </c>
      <c r="D11" s="9" t="s">
        <v>403</v>
      </c>
      <c r="E11" s="9" t="s">
        <v>404</v>
      </c>
      <c r="F11" s="9" t="s">
        <v>405</v>
      </c>
      <c r="G11" s="10" t="s">
        <v>394</v>
      </c>
      <c r="H11" s="10" t="s">
        <v>298</v>
      </c>
      <c r="I11" s="10" t="s">
        <v>406</v>
      </c>
    </row>
    <row r="12" customFormat="false" ht="15" hidden="false" customHeight="false" outlineLevel="0" collapsed="false">
      <c r="A12" s="9" t="s">
        <v>280</v>
      </c>
      <c r="B12" s="10" t="s">
        <v>407</v>
      </c>
      <c r="C12" s="10" t="s">
        <v>173</v>
      </c>
      <c r="D12" s="10" t="s">
        <v>408</v>
      </c>
      <c r="E12" s="9" t="s">
        <v>409</v>
      </c>
      <c r="F12" s="9" t="s">
        <v>410</v>
      </c>
      <c r="G12" s="9" t="s">
        <v>411</v>
      </c>
      <c r="H12" s="10" t="s">
        <v>412</v>
      </c>
      <c r="I12" s="9" t="s">
        <v>284</v>
      </c>
    </row>
    <row r="13" customFormat="false" ht="23.85" hidden="false" customHeight="false" outlineLevel="0" collapsed="false">
      <c r="A13" s="9" t="s">
        <v>285</v>
      </c>
      <c r="B13" s="10" t="s">
        <v>413</v>
      </c>
      <c r="C13" s="9" t="s">
        <v>414</v>
      </c>
      <c r="D13" s="9" t="s">
        <v>415</v>
      </c>
      <c r="E13" s="9" t="s">
        <v>416</v>
      </c>
      <c r="F13" s="9" t="s">
        <v>417</v>
      </c>
      <c r="G13" s="9" t="s">
        <v>418</v>
      </c>
      <c r="H13" s="10" t="s">
        <v>419</v>
      </c>
      <c r="I13" s="10"/>
    </row>
    <row r="14" customFormat="false" ht="15" hidden="false" customHeight="false" outlineLevel="0" collapsed="false">
      <c r="A14" s="9" t="s">
        <v>420</v>
      </c>
      <c r="B14" s="10" t="s">
        <v>421</v>
      </c>
      <c r="C14" s="9" t="s">
        <v>422</v>
      </c>
      <c r="D14" s="9" t="s">
        <v>423</v>
      </c>
      <c r="E14" s="9" t="s">
        <v>424</v>
      </c>
      <c r="F14" s="9" t="s">
        <v>425</v>
      </c>
      <c r="G14" s="9" t="s">
        <v>426</v>
      </c>
      <c r="H14" s="10" t="s">
        <v>298</v>
      </c>
      <c r="I14" s="10"/>
    </row>
    <row r="15" customFormat="false" ht="15" hidden="false" customHeight="false" outlineLevel="0" collapsed="false">
      <c r="A15" s="9" t="s">
        <v>300</v>
      </c>
      <c r="B15" s="10" t="s">
        <v>427</v>
      </c>
      <c r="C15" s="10" t="s">
        <v>428</v>
      </c>
      <c r="D15" s="9" t="s">
        <v>429</v>
      </c>
      <c r="E15" s="9" t="s">
        <v>430</v>
      </c>
      <c r="F15" s="9" t="s">
        <v>431</v>
      </c>
      <c r="G15" s="9" t="s">
        <v>432</v>
      </c>
      <c r="H15" s="10" t="s">
        <v>433</v>
      </c>
      <c r="I15" s="10" t="s">
        <v>434</v>
      </c>
    </row>
    <row r="16" customFormat="false" ht="29.85" hidden="false" customHeight="false" outlineLevel="0" collapsed="false">
      <c r="A16" s="9" t="s">
        <v>303</v>
      </c>
      <c r="B16" s="10" t="s">
        <v>435</v>
      </c>
      <c r="C16" s="10" t="s">
        <v>428</v>
      </c>
      <c r="D16" s="9" t="s">
        <v>423</v>
      </c>
      <c r="E16" s="9" t="s">
        <v>436</v>
      </c>
      <c r="F16" s="9" t="s">
        <v>437</v>
      </c>
      <c r="G16" s="9" t="s">
        <v>438</v>
      </c>
      <c r="H16" s="10" t="s">
        <v>439</v>
      </c>
      <c r="I16" s="10"/>
    </row>
    <row r="17" customFormat="false" ht="15" hidden="false" customHeight="false" outlineLevel="0" collapsed="false">
      <c r="A17" s="9" t="s">
        <v>440</v>
      </c>
      <c r="B17" s="10" t="s">
        <v>441</v>
      </c>
      <c r="C17" s="9" t="s">
        <v>373</v>
      </c>
      <c r="D17" s="9" t="s">
        <v>442</v>
      </c>
      <c r="E17" s="9" t="s">
        <v>443</v>
      </c>
      <c r="F17" s="9" t="s">
        <v>444</v>
      </c>
      <c r="G17" s="10" t="s">
        <v>445</v>
      </c>
      <c r="H17" s="10" t="s">
        <v>446</v>
      </c>
      <c r="I17" s="10" t="s">
        <v>447</v>
      </c>
    </row>
    <row r="18" customFormat="false" ht="15" hidden="false" customHeight="false" outlineLevel="0" collapsed="false">
      <c r="A18" s="9" t="s">
        <v>448</v>
      </c>
      <c r="B18" s="10" t="s">
        <v>449</v>
      </c>
      <c r="C18" s="10" t="s">
        <v>450</v>
      </c>
      <c r="D18" s="9" t="s">
        <v>451</v>
      </c>
      <c r="E18" s="9" t="s">
        <v>452</v>
      </c>
      <c r="F18" s="9" t="s">
        <v>453</v>
      </c>
      <c r="G18" s="10" t="s">
        <v>454</v>
      </c>
      <c r="H18" s="10" t="s">
        <v>455</v>
      </c>
      <c r="I18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40"/>
    <col collapsed="false" customWidth="true" hidden="false" outlineLevel="0" max="4" min="4" style="0" width="20"/>
    <col collapsed="false" customWidth="true" hidden="false" outlineLevel="0" max="7" min="5" style="0" width="18"/>
    <col collapsed="false" customWidth="true" hidden="false" outlineLevel="0" max="8" min="8" style="0" width="14"/>
  </cols>
  <sheetData>
    <row r="1" customFormat="false" ht="15" hidden="false" customHeight="false" outlineLevel="0" collapsed="false">
      <c r="A1" s="7" t="s">
        <v>172</v>
      </c>
      <c r="B1" s="7" t="s">
        <v>456</v>
      </c>
      <c r="C1" s="7" t="s">
        <v>457</v>
      </c>
      <c r="D1" s="8" t="s">
        <v>46</v>
      </c>
      <c r="E1" s="8" t="s">
        <v>47</v>
      </c>
      <c r="F1" s="8" t="s">
        <v>458</v>
      </c>
      <c r="G1" s="8" t="s">
        <v>49</v>
      </c>
      <c r="H1" s="7" t="s">
        <v>459</v>
      </c>
    </row>
    <row r="2" customFormat="false" ht="23.85" hidden="false" customHeight="false" outlineLevel="0" collapsed="false">
      <c r="A2" s="10" t="s">
        <v>180</v>
      </c>
      <c r="B2" s="10" t="s">
        <v>460</v>
      </c>
      <c r="C2" s="16" t="s">
        <v>461</v>
      </c>
      <c r="D2" s="10" t="s">
        <v>462</v>
      </c>
      <c r="E2" s="10" t="s">
        <v>463</v>
      </c>
      <c r="F2" s="9" t="s">
        <v>464</v>
      </c>
      <c r="G2" s="10" t="s">
        <v>462</v>
      </c>
      <c r="H2" s="10" t="s">
        <v>465</v>
      </c>
    </row>
    <row r="3" customFormat="false" ht="15" hidden="false" customHeight="false" outlineLevel="0" collapsed="false">
      <c r="A3" s="10" t="s">
        <v>213</v>
      </c>
      <c r="B3" s="10" t="s">
        <v>466</v>
      </c>
      <c r="C3" s="16" t="s">
        <v>467</v>
      </c>
      <c r="D3" s="10" t="s">
        <v>468</v>
      </c>
      <c r="E3" s="10" t="s">
        <v>469</v>
      </c>
      <c r="F3" s="9" t="s">
        <v>140</v>
      </c>
      <c r="G3" s="10" t="s">
        <v>468</v>
      </c>
      <c r="H3" s="10" t="s">
        <v>465</v>
      </c>
    </row>
    <row r="4" customFormat="false" ht="15" hidden="false" customHeight="false" outlineLevel="0" collapsed="false">
      <c r="A4" s="10" t="s">
        <v>237</v>
      </c>
      <c r="B4" s="9" t="s">
        <v>470</v>
      </c>
      <c r="C4" s="16" t="s">
        <v>471</v>
      </c>
      <c r="D4" s="9" t="s">
        <v>76</v>
      </c>
      <c r="E4" s="9" t="s">
        <v>472</v>
      </c>
      <c r="F4" s="9" t="s">
        <v>76</v>
      </c>
      <c r="G4" s="9" t="s">
        <v>76</v>
      </c>
      <c r="H4" s="10" t="s">
        <v>473</v>
      </c>
    </row>
    <row r="5" customFormat="false" ht="15" hidden="false" customHeight="false" outlineLevel="0" collapsed="false">
      <c r="A5" s="10" t="s">
        <v>251</v>
      </c>
      <c r="B5" s="9" t="s">
        <v>474</v>
      </c>
      <c r="C5" s="16" t="s">
        <v>475</v>
      </c>
      <c r="D5" s="9" t="s">
        <v>476</v>
      </c>
      <c r="E5" s="9" t="s">
        <v>477</v>
      </c>
      <c r="F5" s="10" t="s">
        <v>478</v>
      </c>
      <c r="G5" s="9" t="s">
        <v>476</v>
      </c>
      <c r="H5" s="10" t="s">
        <v>479</v>
      </c>
    </row>
    <row r="6" customFormat="false" ht="15" hidden="false" customHeight="false" outlineLevel="0" collapsed="false">
      <c r="A6" s="10" t="s">
        <v>268</v>
      </c>
      <c r="B6" s="9" t="s">
        <v>480</v>
      </c>
      <c r="C6" s="16" t="s">
        <v>481</v>
      </c>
      <c r="D6" s="9" t="s">
        <v>482</v>
      </c>
      <c r="E6" s="10" t="s">
        <v>483</v>
      </c>
      <c r="F6" s="10" t="s">
        <v>478</v>
      </c>
      <c r="G6" s="9" t="s">
        <v>484</v>
      </c>
      <c r="H6" s="10" t="s">
        <v>485</v>
      </c>
    </row>
    <row r="7" customFormat="false" ht="15" hidden="false" customHeight="false" outlineLevel="0" collapsed="false">
      <c r="A7" s="10" t="s">
        <v>486</v>
      </c>
      <c r="B7" s="9" t="s">
        <v>487</v>
      </c>
      <c r="C7" s="16" t="s">
        <v>296</v>
      </c>
      <c r="D7" s="9" t="s">
        <v>488</v>
      </c>
      <c r="E7" s="10" t="s">
        <v>489</v>
      </c>
      <c r="F7" s="10" t="s">
        <v>478</v>
      </c>
      <c r="G7" s="10" t="s">
        <v>490</v>
      </c>
      <c r="H7" s="10" t="s">
        <v>491</v>
      </c>
    </row>
    <row r="8" customFormat="false" ht="29.85" hidden="false" customHeight="false" outlineLevel="0" collapsed="false">
      <c r="A8" s="10" t="s">
        <v>307</v>
      </c>
      <c r="B8" s="10" t="s">
        <v>492</v>
      </c>
      <c r="C8" s="16" t="s">
        <v>493</v>
      </c>
      <c r="D8" s="10" t="s">
        <v>468</v>
      </c>
      <c r="E8" s="10" t="s">
        <v>316</v>
      </c>
      <c r="F8" s="9" t="s">
        <v>494</v>
      </c>
      <c r="G8" s="10" t="s">
        <v>468</v>
      </c>
      <c r="H8" s="10" t="s">
        <v>473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4" min="3" style="0" width="16"/>
    <col collapsed="false" customWidth="true" hidden="false" outlineLevel="0" max="7" min="5" style="0" width="26"/>
    <col collapsed="false" customWidth="true" hidden="false" outlineLevel="0" max="8" min="8" style="0" width="30"/>
    <col collapsed="false" customWidth="true" hidden="false" outlineLevel="0" max="9" min="9" style="0" width="16"/>
    <col collapsed="false" customWidth="true" hidden="false" outlineLevel="0" max="10" min="10" style="0" width="34"/>
  </cols>
  <sheetData>
    <row r="1" customFormat="false" ht="29.85" hidden="false" customHeight="false" outlineLevel="0" collapsed="false">
      <c r="A1" s="7" t="s">
        <v>172</v>
      </c>
      <c r="B1" s="7" t="s">
        <v>495</v>
      </c>
      <c r="C1" s="8" t="s">
        <v>496</v>
      </c>
      <c r="D1" s="8" t="s">
        <v>497</v>
      </c>
      <c r="E1" s="7" t="s">
        <v>498</v>
      </c>
      <c r="F1" s="7" t="s">
        <v>499</v>
      </c>
      <c r="G1" s="7" t="s">
        <v>500</v>
      </c>
      <c r="H1" s="7" t="s">
        <v>501</v>
      </c>
      <c r="I1" s="7" t="s">
        <v>502</v>
      </c>
      <c r="J1" s="7" t="s">
        <v>51</v>
      </c>
    </row>
    <row r="2" customFormat="false" ht="29.85" hidden="false" customHeight="false" outlineLevel="0" collapsed="false">
      <c r="A2" s="10" t="s">
        <v>180</v>
      </c>
      <c r="B2" s="9" t="s">
        <v>503</v>
      </c>
      <c r="C2" s="9" t="s">
        <v>504</v>
      </c>
      <c r="D2" s="9" t="s">
        <v>505</v>
      </c>
      <c r="E2" s="9" t="s">
        <v>506</v>
      </c>
      <c r="F2" s="9" t="s">
        <v>507</v>
      </c>
      <c r="G2" s="9" t="s">
        <v>508</v>
      </c>
      <c r="H2" s="9" t="s">
        <v>509</v>
      </c>
      <c r="I2" s="10" t="s">
        <v>510</v>
      </c>
      <c r="J2" s="10" t="s">
        <v>511</v>
      </c>
    </row>
    <row r="3" customFormat="false" ht="15" hidden="false" customHeight="false" outlineLevel="0" collapsed="false">
      <c r="A3" s="10" t="s">
        <v>180</v>
      </c>
      <c r="B3" s="9" t="s">
        <v>512</v>
      </c>
      <c r="C3" s="9" t="s">
        <v>513</v>
      </c>
      <c r="D3" s="9" t="s">
        <v>514</v>
      </c>
      <c r="E3" s="9" t="s">
        <v>515</v>
      </c>
      <c r="F3" s="9" t="s">
        <v>516</v>
      </c>
      <c r="G3" s="10"/>
      <c r="H3" s="10"/>
      <c r="I3" s="10"/>
      <c r="J3" s="10"/>
    </row>
    <row r="4" customFormat="false" ht="15" hidden="false" customHeight="false" outlineLevel="0" collapsed="false">
      <c r="A4" s="10" t="s">
        <v>213</v>
      </c>
      <c r="B4" s="9" t="s">
        <v>226</v>
      </c>
      <c r="C4" s="9" t="s">
        <v>517</v>
      </c>
      <c r="D4" s="9" t="s">
        <v>518</v>
      </c>
      <c r="E4" s="9" t="s">
        <v>519</v>
      </c>
      <c r="F4" s="9" t="s">
        <v>520</v>
      </c>
      <c r="G4" s="9" t="s">
        <v>521</v>
      </c>
      <c r="H4" s="9" t="s">
        <v>522</v>
      </c>
      <c r="I4" s="10" t="s">
        <v>523</v>
      </c>
      <c r="J4" s="10"/>
    </row>
    <row r="5" customFormat="false" ht="15" hidden="false" customHeight="false" outlineLevel="0" collapsed="false">
      <c r="A5" s="10" t="s">
        <v>213</v>
      </c>
      <c r="B5" s="9" t="s">
        <v>230</v>
      </c>
      <c r="C5" s="9" t="s">
        <v>505</v>
      </c>
      <c r="D5" s="9" t="s">
        <v>524</v>
      </c>
      <c r="E5" s="9" t="s">
        <v>525</v>
      </c>
      <c r="F5" s="9" t="s">
        <v>526</v>
      </c>
      <c r="G5" s="10"/>
      <c r="H5" s="10"/>
      <c r="I5" s="10"/>
      <c r="J5" s="10"/>
    </row>
    <row r="6" customFormat="false" ht="15" hidden="false" customHeight="false" outlineLevel="0" collapsed="false">
      <c r="A6" s="10" t="s">
        <v>213</v>
      </c>
      <c r="B6" s="9" t="s">
        <v>233</v>
      </c>
      <c r="C6" s="9" t="s">
        <v>527</v>
      </c>
      <c r="D6" s="9" t="s">
        <v>528</v>
      </c>
      <c r="E6" s="9" t="s">
        <v>529</v>
      </c>
      <c r="F6" s="9" t="s">
        <v>530</v>
      </c>
      <c r="G6" s="10"/>
      <c r="H6" s="10"/>
      <c r="I6" s="10" t="s">
        <v>531</v>
      </c>
      <c r="J6" s="10"/>
    </row>
    <row r="7" customFormat="false" ht="29.85" hidden="false" customHeight="false" outlineLevel="0" collapsed="false">
      <c r="A7" s="10" t="s">
        <v>237</v>
      </c>
      <c r="B7" s="9" t="s">
        <v>69</v>
      </c>
      <c r="C7" s="9" t="s">
        <v>532</v>
      </c>
      <c r="D7" s="9" t="s">
        <v>533</v>
      </c>
      <c r="E7" s="9" t="s">
        <v>534</v>
      </c>
      <c r="F7" s="9" t="s">
        <v>535</v>
      </c>
      <c r="G7" s="9" t="s">
        <v>536</v>
      </c>
      <c r="H7" s="9" t="s">
        <v>537</v>
      </c>
      <c r="I7" s="10" t="s">
        <v>538</v>
      </c>
      <c r="J7" s="10" t="s">
        <v>539</v>
      </c>
    </row>
    <row r="8" customFormat="false" ht="15" hidden="false" customHeight="false" outlineLevel="0" collapsed="false">
      <c r="A8" s="10" t="s">
        <v>237</v>
      </c>
      <c r="B8" s="9" t="s">
        <v>384</v>
      </c>
      <c r="C8" s="10" t="s">
        <v>540</v>
      </c>
      <c r="D8" s="10" t="s">
        <v>541</v>
      </c>
      <c r="E8" s="9" t="s">
        <v>542</v>
      </c>
      <c r="F8" s="10" t="s">
        <v>543</v>
      </c>
      <c r="G8" s="10"/>
      <c r="H8" s="10"/>
      <c r="I8" s="10" t="s">
        <v>544</v>
      </c>
      <c r="J8" s="10"/>
    </row>
    <row r="9" customFormat="false" ht="29.85" hidden="false" customHeight="false" outlineLevel="0" collapsed="false">
      <c r="A9" s="10" t="s">
        <v>251</v>
      </c>
      <c r="B9" s="9" t="s">
        <v>545</v>
      </c>
      <c r="C9" s="9" t="s">
        <v>546</v>
      </c>
      <c r="D9" s="9" t="s">
        <v>547</v>
      </c>
      <c r="E9" s="10" t="s">
        <v>548</v>
      </c>
      <c r="F9" s="9" t="s">
        <v>549</v>
      </c>
      <c r="G9" s="10" t="s">
        <v>550</v>
      </c>
      <c r="H9" s="9" t="s">
        <v>84</v>
      </c>
      <c r="I9" s="10" t="s">
        <v>551</v>
      </c>
      <c r="J9" s="10" t="s">
        <v>552</v>
      </c>
    </row>
    <row r="10" customFormat="false" ht="15" hidden="false" customHeight="false" outlineLevel="0" collapsed="false">
      <c r="A10" s="10" t="s">
        <v>268</v>
      </c>
      <c r="B10" s="9" t="s">
        <v>280</v>
      </c>
      <c r="C10" s="10" t="s">
        <v>553</v>
      </c>
      <c r="D10" s="9" t="s">
        <v>554</v>
      </c>
      <c r="E10" s="10" t="s">
        <v>555</v>
      </c>
      <c r="F10" s="9" t="s">
        <v>556</v>
      </c>
      <c r="G10" s="9" t="s">
        <v>557</v>
      </c>
      <c r="H10" s="9" t="s">
        <v>84</v>
      </c>
      <c r="I10" s="10" t="s">
        <v>558</v>
      </c>
      <c r="J10" s="10" t="s">
        <v>559</v>
      </c>
    </row>
    <row r="11" customFormat="false" ht="15" hidden="false" customHeight="false" outlineLevel="0" collapsed="false">
      <c r="A11" s="10" t="s">
        <v>268</v>
      </c>
      <c r="B11" s="9" t="s">
        <v>285</v>
      </c>
      <c r="C11" s="9" t="s">
        <v>514</v>
      </c>
      <c r="D11" s="9" t="s">
        <v>560</v>
      </c>
      <c r="E11" s="9" t="s">
        <v>561</v>
      </c>
      <c r="F11" s="9" t="s">
        <v>562</v>
      </c>
      <c r="G11" s="10"/>
      <c r="H11" s="9" t="s">
        <v>563</v>
      </c>
      <c r="I11" s="10" t="s">
        <v>531</v>
      </c>
      <c r="J11" s="10"/>
    </row>
    <row r="12" customFormat="false" ht="15" hidden="false" customHeight="false" outlineLevel="0" collapsed="false">
      <c r="A12" s="10" t="s">
        <v>268</v>
      </c>
      <c r="B12" s="9" t="s">
        <v>420</v>
      </c>
      <c r="C12" s="9" t="s">
        <v>564</v>
      </c>
      <c r="D12" s="9" t="s">
        <v>565</v>
      </c>
      <c r="E12" s="9" t="s">
        <v>566</v>
      </c>
      <c r="F12" s="9" t="s">
        <v>567</v>
      </c>
      <c r="G12" s="10"/>
      <c r="H12" s="10"/>
      <c r="I12" s="10" t="s">
        <v>531</v>
      </c>
      <c r="J12" s="10"/>
    </row>
    <row r="13" customFormat="false" ht="15" hidden="false" customHeight="false" outlineLevel="0" collapsed="false">
      <c r="A13" s="10" t="s">
        <v>328</v>
      </c>
      <c r="B13" s="9" t="s">
        <v>300</v>
      </c>
      <c r="C13" s="9" t="s">
        <v>565</v>
      </c>
      <c r="D13" s="9" t="s">
        <v>568</v>
      </c>
      <c r="E13" s="9" t="s">
        <v>569</v>
      </c>
      <c r="F13" s="9" t="s">
        <v>570</v>
      </c>
      <c r="G13" s="9" t="s">
        <v>571</v>
      </c>
      <c r="H13" s="9" t="s">
        <v>84</v>
      </c>
      <c r="I13" s="10" t="s">
        <v>531</v>
      </c>
      <c r="J13" s="10" t="s">
        <v>572</v>
      </c>
    </row>
    <row r="14" customFormat="false" ht="15" hidden="false" customHeight="false" outlineLevel="0" collapsed="false">
      <c r="A14" s="10" t="s">
        <v>328</v>
      </c>
      <c r="B14" s="9" t="s">
        <v>303</v>
      </c>
      <c r="C14" s="9" t="s">
        <v>565</v>
      </c>
      <c r="D14" s="9" t="s">
        <v>560</v>
      </c>
      <c r="E14" s="9" t="s">
        <v>573</v>
      </c>
      <c r="F14" s="9" t="s">
        <v>574</v>
      </c>
      <c r="G14" s="10"/>
      <c r="H14" s="10"/>
      <c r="I14" s="10"/>
      <c r="J14" s="10"/>
    </row>
    <row r="15" customFormat="false" ht="15" hidden="false" customHeight="false" outlineLevel="0" collapsed="false">
      <c r="A15" s="10" t="s">
        <v>307</v>
      </c>
      <c r="B15" s="9" t="s">
        <v>319</v>
      </c>
      <c r="C15" s="9" t="s">
        <v>575</v>
      </c>
      <c r="D15" s="9" t="s">
        <v>576</v>
      </c>
      <c r="E15" s="9" t="s">
        <v>577</v>
      </c>
      <c r="F15" s="9" t="s">
        <v>578</v>
      </c>
      <c r="G15" s="9" t="s">
        <v>579</v>
      </c>
      <c r="H15" s="9" t="s">
        <v>580</v>
      </c>
      <c r="I15" s="10" t="s">
        <v>531</v>
      </c>
      <c r="J15" s="10"/>
    </row>
    <row r="16" customFormat="false" ht="15" hidden="false" customHeight="false" outlineLevel="0" collapsed="false">
      <c r="A16" s="10" t="s">
        <v>307</v>
      </c>
      <c r="B16" s="9" t="s">
        <v>321</v>
      </c>
      <c r="C16" s="9" t="s">
        <v>524</v>
      </c>
      <c r="D16" s="9" t="s">
        <v>581</v>
      </c>
      <c r="E16" s="9" t="s">
        <v>582</v>
      </c>
      <c r="F16" s="10"/>
      <c r="G16" s="10"/>
      <c r="H16" s="10"/>
      <c r="I16" s="10"/>
      <c r="J16" s="10"/>
    </row>
    <row r="17" customFormat="false" ht="15" hidden="false" customHeight="false" outlineLevel="0" collapsed="false">
      <c r="A17" s="10" t="s">
        <v>307</v>
      </c>
      <c r="B17" s="9" t="s">
        <v>259</v>
      </c>
      <c r="C17" s="9" t="s">
        <v>583</v>
      </c>
      <c r="D17" s="9" t="s">
        <v>524</v>
      </c>
      <c r="E17" s="9" t="s">
        <v>584</v>
      </c>
      <c r="F17" s="10"/>
      <c r="G17" s="10"/>
      <c r="H17" s="10"/>
      <c r="I17" s="10"/>
      <c r="J17" s="10"/>
    </row>
    <row r="18" customFormat="false" ht="15" hidden="false" customHeight="false" outlineLevel="0" collapsed="false">
      <c r="A18" s="10" t="s">
        <v>307</v>
      </c>
      <c r="B18" s="9" t="s">
        <v>262</v>
      </c>
      <c r="C18" s="9" t="s">
        <v>560</v>
      </c>
      <c r="D18" s="9" t="s">
        <v>585</v>
      </c>
      <c r="E18" s="9" t="s">
        <v>586</v>
      </c>
      <c r="F18" s="9" t="s">
        <v>587</v>
      </c>
      <c r="G18" s="10"/>
      <c r="H18" s="10"/>
      <c r="I18" s="10"/>
      <c r="J18" s="10"/>
    </row>
    <row r="19" customFormat="false" ht="15" hidden="false" customHeight="false" outlineLevel="0" collapsed="false">
      <c r="A19" s="10"/>
      <c r="B19" s="10"/>
      <c r="C19" s="10"/>
      <c r="D19" s="10"/>
      <c r="E19" s="10"/>
      <c r="F19" s="10"/>
      <c r="G19" s="10"/>
      <c r="H19" s="10"/>
      <c r="I19" s="10"/>
      <c r="J19" s="10"/>
    </row>
    <row r="20" customFormat="false" ht="29.85" hidden="false" customHeight="true" outlineLevel="0" collapsed="false">
      <c r="A20" s="25" t="s">
        <v>588</v>
      </c>
      <c r="B20" s="10" t="s">
        <v>589</v>
      </c>
      <c r="C20" s="10"/>
      <c r="D20" s="10"/>
      <c r="E20" s="10"/>
      <c r="F20" s="10"/>
      <c r="G20" s="10"/>
      <c r="H20" s="10"/>
      <c r="I20" s="10"/>
      <c r="J20" s="10"/>
    </row>
  </sheetData>
  <mergeCells count="1">
    <mergeCell ref="B20:J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80"/>
    <col collapsed="false" customWidth="true" hidden="false" outlineLevel="0" max="3" min="3" style="0" width="40"/>
    <col collapsed="false" customWidth="true" hidden="false" outlineLevel="0" max="4" min="4" style="0" width="30"/>
  </cols>
  <sheetData>
    <row r="1" customFormat="false" ht="15" hidden="false" customHeight="false" outlineLevel="0" collapsed="false">
      <c r="A1" s="7" t="s">
        <v>174</v>
      </c>
      <c r="B1" s="7" t="s">
        <v>590</v>
      </c>
      <c r="C1" s="7" t="s">
        <v>499</v>
      </c>
      <c r="D1" s="7" t="s">
        <v>51</v>
      </c>
    </row>
    <row r="2" customFormat="false" ht="15" hidden="false" customHeight="false" outlineLevel="0" collapsed="false">
      <c r="A2" s="10" t="s">
        <v>591</v>
      </c>
      <c r="B2" s="9" t="s">
        <v>592</v>
      </c>
      <c r="C2" s="9" t="s">
        <v>593</v>
      </c>
      <c r="D2" s="10" t="s">
        <v>594</v>
      </c>
    </row>
    <row r="3" customFormat="false" ht="15" hidden="false" customHeight="false" outlineLevel="0" collapsed="false">
      <c r="A3" s="10" t="s">
        <v>595</v>
      </c>
      <c r="B3" s="9" t="s">
        <v>596</v>
      </c>
      <c r="C3" s="9" t="s">
        <v>597</v>
      </c>
      <c r="D3" s="10" t="s">
        <v>598</v>
      </c>
    </row>
    <row r="4" customFormat="false" ht="29.85" hidden="false" customHeight="false" outlineLevel="0" collapsed="false">
      <c r="A4" s="10" t="s">
        <v>599</v>
      </c>
      <c r="B4" s="9" t="s">
        <v>600</v>
      </c>
      <c r="C4" s="9" t="s">
        <v>601</v>
      </c>
      <c r="D4" s="10" t="s">
        <v>602</v>
      </c>
    </row>
    <row r="5" customFormat="false" ht="29.85" hidden="false" customHeight="false" outlineLevel="0" collapsed="false">
      <c r="A5" s="10" t="s">
        <v>603</v>
      </c>
      <c r="B5" s="9" t="s">
        <v>604</v>
      </c>
      <c r="C5" s="9" t="s">
        <v>605</v>
      </c>
      <c r="D5" s="9" t="s">
        <v>606</v>
      </c>
    </row>
    <row r="6" customFormat="false" ht="15" hidden="false" customHeight="false" outlineLevel="0" collapsed="false">
      <c r="A6" s="10" t="s">
        <v>607</v>
      </c>
      <c r="B6" s="9" t="s">
        <v>608</v>
      </c>
      <c r="C6" s="9" t="s">
        <v>609</v>
      </c>
      <c r="D6" s="10" t="s">
        <v>610</v>
      </c>
    </row>
    <row r="7" customFormat="false" ht="29.85" hidden="false" customHeight="false" outlineLevel="0" collapsed="false">
      <c r="A7" s="10" t="s">
        <v>611</v>
      </c>
      <c r="B7" s="9" t="s">
        <v>612</v>
      </c>
      <c r="C7" s="10" t="s">
        <v>613</v>
      </c>
      <c r="D7" s="10"/>
    </row>
    <row r="8" customFormat="false" ht="15" hidden="false" customHeight="false" outlineLevel="0" collapsed="false">
      <c r="A8" s="10" t="s">
        <v>614</v>
      </c>
      <c r="B8" s="10" t="s">
        <v>615</v>
      </c>
      <c r="C8" s="10" t="s">
        <v>616</v>
      </c>
      <c r="D8" s="10"/>
    </row>
    <row r="9" customFormat="false" ht="15" hidden="false" customHeight="false" outlineLevel="0" collapsed="false">
      <c r="A9" s="10" t="s">
        <v>251</v>
      </c>
      <c r="B9" s="10" t="s">
        <v>617</v>
      </c>
      <c r="C9" s="9" t="s">
        <v>618</v>
      </c>
      <c r="D9" s="10"/>
    </row>
    <row r="10" customFormat="false" ht="15" hidden="false" customHeight="false" outlineLevel="0" collapsed="false">
      <c r="A10" s="10" t="s">
        <v>619</v>
      </c>
      <c r="B10" s="10" t="s">
        <v>620</v>
      </c>
      <c r="C10" s="9" t="s">
        <v>621</v>
      </c>
      <c r="D10" s="10" t="s">
        <v>622</v>
      </c>
    </row>
    <row r="11" customFormat="false" ht="15" hidden="false" customHeight="false" outlineLevel="0" collapsed="false">
      <c r="A11" s="10" t="s">
        <v>623</v>
      </c>
      <c r="B11" s="10" t="s">
        <v>624</v>
      </c>
      <c r="C11" s="10"/>
      <c r="D11" s="10" t="s">
        <v>625</v>
      </c>
    </row>
    <row r="12" customFormat="false" ht="15" hidden="false" customHeight="false" outlineLevel="0" collapsed="false">
      <c r="A12" s="10" t="s">
        <v>626</v>
      </c>
      <c r="B12" s="9" t="s">
        <v>627</v>
      </c>
      <c r="C12" s="10"/>
      <c r="D12" s="10" t="s">
        <v>628</v>
      </c>
    </row>
    <row r="13" customFormat="false" ht="23.85" hidden="false" customHeight="false" outlineLevel="0" collapsed="false">
      <c r="A13" s="10" t="s">
        <v>629</v>
      </c>
      <c r="B13" s="9" t="s">
        <v>630</v>
      </c>
      <c r="C13" s="10"/>
      <c r="D13" s="9" t="s">
        <v>631</v>
      </c>
    </row>
    <row r="14" customFormat="false" ht="23.85" hidden="false" customHeight="false" outlineLevel="0" collapsed="false">
      <c r="A14" s="9" t="s">
        <v>632</v>
      </c>
      <c r="B14" s="9" t="s">
        <v>633</v>
      </c>
      <c r="C14" s="10"/>
      <c r="D14" s="9" t="s">
        <v>634</v>
      </c>
    </row>
    <row r="15" customFormat="false" ht="29.85" hidden="false" customHeight="false" outlineLevel="0" collapsed="false">
      <c r="A15" s="10" t="s">
        <v>635</v>
      </c>
      <c r="B15" s="9" t="s">
        <v>636</v>
      </c>
      <c r="C15" s="10"/>
      <c r="D15" s="10" t="s">
        <v>637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"/>
    <col collapsed="false" customWidth="true" hidden="false" outlineLevel="0" max="3" min="3" style="0" width="6"/>
    <col collapsed="false" customWidth="true" hidden="false" outlineLevel="0" max="4" min="4" style="0" width="34"/>
    <col collapsed="false" customWidth="true" hidden="false" outlineLevel="0" max="5" min="5" style="0" width="20"/>
    <col collapsed="false" customWidth="true" hidden="false" outlineLevel="0" max="6" min="6" style="0" width="44"/>
    <col collapsed="false" customWidth="true" hidden="false" outlineLevel="0" max="7" min="7" style="0" width="9"/>
    <col collapsed="false" customWidth="true" hidden="false" outlineLevel="0" max="8" min="8" style="0" width="44"/>
    <col collapsed="false" customWidth="true" hidden="false" outlineLevel="0" max="9" min="9" style="0" width="8"/>
    <col collapsed="false" customWidth="true" hidden="false" outlineLevel="0" max="10" min="10" style="0" width="10"/>
    <col collapsed="false" customWidth="true" hidden="false" outlineLevel="0" max="11" min="11" style="0" width="22"/>
    <col collapsed="false" customWidth="true" hidden="false" outlineLevel="0" max="12" min="12" style="0" width="30"/>
    <col collapsed="false" customWidth="true" hidden="false" outlineLevel="0" max="13" min="13" style="0" width="36"/>
    <col collapsed="false" customWidth="true" hidden="false" outlineLevel="0" max="14" min="14" style="0" width="34"/>
  </cols>
  <sheetData>
    <row r="1" customFormat="false" ht="23.85" hidden="false" customHeight="false" outlineLevel="0" collapsed="false">
      <c r="A1" s="8" t="s">
        <v>638</v>
      </c>
      <c r="B1" s="8" t="s">
        <v>639</v>
      </c>
      <c r="C1" s="8" t="s">
        <v>640</v>
      </c>
      <c r="D1" s="8" t="s">
        <v>641</v>
      </c>
      <c r="E1" s="8" t="s">
        <v>642</v>
      </c>
      <c r="F1" s="8" t="s">
        <v>643</v>
      </c>
      <c r="G1" s="8" t="s">
        <v>644</v>
      </c>
      <c r="H1" s="8" t="s">
        <v>645</v>
      </c>
      <c r="I1" s="8" t="s">
        <v>646</v>
      </c>
      <c r="J1" s="8" t="s">
        <v>647</v>
      </c>
      <c r="K1" s="8" t="s">
        <v>648</v>
      </c>
      <c r="L1" s="8" t="s">
        <v>649</v>
      </c>
      <c r="M1" s="8" t="s">
        <v>650</v>
      </c>
      <c r="N1" s="8" t="s">
        <v>651</v>
      </c>
    </row>
    <row r="2" customFormat="false" ht="29.85" hidden="false" customHeight="false" outlineLevel="0" collapsed="false">
      <c r="A2" s="26" t="s">
        <v>652</v>
      </c>
      <c r="B2" s="26" t="s">
        <v>653</v>
      </c>
      <c r="C2" s="10" t="n">
        <v>1</v>
      </c>
      <c r="D2" s="26"/>
      <c r="E2" s="9" t="s">
        <v>654</v>
      </c>
      <c r="F2" s="10" t="s">
        <v>655</v>
      </c>
      <c r="G2" s="9" t="s">
        <v>117</v>
      </c>
      <c r="H2" s="10" t="s">
        <v>656</v>
      </c>
      <c r="I2" s="9" t="s">
        <v>657</v>
      </c>
      <c r="J2" s="10"/>
      <c r="K2" s="9" t="s">
        <v>658</v>
      </c>
      <c r="L2" s="9" t="s">
        <v>659</v>
      </c>
      <c r="M2" s="9" t="s">
        <v>660</v>
      </c>
      <c r="N2" s="10" t="s">
        <v>661</v>
      </c>
    </row>
    <row r="3" customFormat="false" ht="15" hidden="false" customHeight="false" outlineLevel="0" collapsed="false">
      <c r="A3" s="26" t="s">
        <v>662</v>
      </c>
      <c r="B3" s="26" t="s">
        <v>653</v>
      </c>
      <c r="C3" s="10" t="n">
        <v>2</v>
      </c>
      <c r="D3" s="26"/>
      <c r="E3" s="9" t="s">
        <v>663</v>
      </c>
      <c r="F3" s="10" t="s">
        <v>664</v>
      </c>
      <c r="G3" s="9" t="s">
        <v>665</v>
      </c>
      <c r="H3" s="9" t="s">
        <v>666</v>
      </c>
      <c r="I3" s="9" t="s">
        <v>657</v>
      </c>
      <c r="J3" s="10"/>
      <c r="K3" s="9" t="s">
        <v>667</v>
      </c>
      <c r="L3" s="9" t="s">
        <v>663</v>
      </c>
      <c r="M3" s="9" t="s">
        <v>668</v>
      </c>
      <c r="N3" s="10"/>
    </row>
    <row r="4" customFormat="false" ht="15" hidden="false" customHeight="false" outlineLevel="0" collapsed="false">
      <c r="A4" s="26" t="s">
        <v>669</v>
      </c>
      <c r="B4" s="26" t="s">
        <v>653</v>
      </c>
      <c r="C4" s="10" t="n">
        <v>3</v>
      </c>
      <c r="D4" s="26"/>
      <c r="E4" s="9" t="s">
        <v>61</v>
      </c>
      <c r="F4" s="10" t="s">
        <v>62</v>
      </c>
      <c r="G4" s="9" t="s">
        <v>670</v>
      </c>
      <c r="H4" s="9" t="s">
        <v>671</v>
      </c>
      <c r="I4" s="9" t="s">
        <v>657</v>
      </c>
      <c r="J4" s="10"/>
      <c r="K4" s="9" t="s">
        <v>667</v>
      </c>
      <c r="L4" s="9" t="s">
        <v>61</v>
      </c>
      <c r="M4" s="9" t="s">
        <v>672</v>
      </c>
      <c r="N4" s="10"/>
    </row>
    <row r="5" customFormat="false" ht="15" hidden="false" customHeight="false" outlineLevel="0" collapsed="false">
      <c r="A5" s="26" t="s">
        <v>673</v>
      </c>
      <c r="B5" s="26" t="s">
        <v>653</v>
      </c>
      <c r="C5" s="10" t="n">
        <v>4</v>
      </c>
      <c r="D5" s="26"/>
      <c r="E5" s="9" t="s">
        <v>674</v>
      </c>
      <c r="F5" s="10" t="s">
        <v>675</v>
      </c>
      <c r="G5" s="9" t="s">
        <v>665</v>
      </c>
      <c r="H5" s="9" t="s">
        <v>676</v>
      </c>
      <c r="I5" s="9" t="s">
        <v>657</v>
      </c>
      <c r="J5" s="10"/>
      <c r="K5" s="9" t="s">
        <v>667</v>
      </c>
      <c r="L5" s="9" t="s">
        <v>674</v>
      </c>
      <c r="M5" s="9" t="s">
        <v>76</v>
      </c>
      <c r="N5" s="10"/>
    </row>
    <row r="6" customFormat="false" ht="15" hidden="false" customHeight="false" outlineLevel="0" collapsed="false">
      <c r="A6" s="26" t="s">
        <v>677</v>
      </c>
      <c r="B6" s="26" t="s">
        <v>653</v>
      </c>
      <c r="C6" s="10" t="n">
        <v>5</v>
      </c>
      <c r="D6" s="26"/>
      <c r="E6" s="9" t="s">
        <v>678</v>
      </c>
      <c r="F6" s="10" t="s">
        <v>679</v>
      </c>
      <c r="G6" s="9" t="s">
        <v>665</v>
      </c>
      <c r="H6" s="9" t="s">
        <v>680</v>
      </c>
      <c r="I6" s="9" t="s">
        <v>657</v>
      </c>
      <c r="J6" s="10"/>
      <c r="K6" s="9" t="s">
        <v>667</v>
      </c>
      <c r="L6" s="9" t="s">
        <v>678</v>
      </c>
      <c r="M6" s="9" t="s">
        <v>681</v>
      </c>
      <c r="N6" s="9" t="s">
        <v>682</v>
      </c>
    </row>
    <row r="7" customFormat="false" ht="15" hidden="false" customHeight="false" outlineLevel="0" collapsed="false">
      <c r="A7" s="26" t="s">
        <v>683</v>
      </c>
      <c r="B7" s="26" t="s">
        <v>653</v>
      </c>
      <c r="C7" s="10" t="n">
        <v>6</v>
      </c>
      <c r="D7" s="26"/>
      <c r="E7" s="9" t="s">
        <v>88</v>
      </c>
      <c r="F7" s="10" t="s">
        <v>89</v>
      </c>
      <c r="G7" s="9" t="s">
        <v>670</v>
      </c>
      <c r="H7" s="9" t="s">
        <v>684</v>
      </c>
      <c r="I7" s="9" t="s">
        <v>657</v>
      </c>
      <c r="J7" s="10"/>
      <c r="K7" s="9" t="s">
        <v>667</v>
      </c>
      <c r="L7" s="9" t="s">
        <v>88</v>
      </c>
      <c r="M7" s="9" t="s">
        <v>685</v>
      </c>
      <c r="N7" s="10"/>
    </row>
    <row r="8" customFormat="false" ht="15" hidden="false" customHeight="false" outlineLevel="0" collapsed="false">
      <c r="A8" s="26" t="s">
        <v>686</v>
      </c>
      <c r="B8" s="26" t="s">
        <v>653</v>
      </c>
      <c r="C8" s="10" t="n">
        <v>7</v>
      </c>
      <c r="D8" s="26"/>
      <c r="E8" s="9" t="s">
        <v>96</v>
      </c>
      <c r="F8" s="10" t="s">
        <v>687</v>
      </c>
      <c r="G8" s="9" t="s">
        <v>670</v>
      </c>
      <c r="H8" s="9" t="s">
        <v>688</v>
      </c>
      <c r="I8" s="9" t="s">
        <v>657</v>
      </c>
      <c r="J8" s="10"/>
      <c r="K8" s="9" t="s">
        <v>667</v>
      </c>
      <c r="L8" s="9" t="s">
        <v>96</v>
      </c>
      <c r="M8" s="9" t="s">
        <v>689</v>
      </c>
      <c r="N8" s="9" t="s">
        <v>690</v>
      </c>
    </row>
    <row r="9" customFormat="false" ht="26.85" hidden="false" customHeight="false" outlineLevel="0" collapsed="false">
      <c r="A9" s="26" t="s">
        <v>691</v>
      </c>
      <c r="B9" s="26" t="s">
        <v>653</v>
      </c>
      <c r="C9" s="10" t="n">
        <v>8</v>
      </c>
      <c r="D9" s="26"/>
      <c r="E9" s="9" t="s">
        <v>104</v>
      </c>
      <c r="F9" s="10" t="s">
        <v>692</v>
      </c>
      <c r="G9" s="9" t="s">
        <v>670</v>
      </c>
      <c r="H9" s="9" t="s">
        <v>693</v>
      </c>
      <c r="I9" s="9" t="s">
        <v>657</v>
      </c>
      <c r="J9" s="10"/>
      <c r="K9" s="9" t="s">
        <v>667</v>
      </c>
      <c r="L9" s="9" t="s">
        <v>104</v>
      </c>
      <c r="M9" s="9" t="s">
        <v>694</v>
      </c>
      <c r="N9" s="10"/>
    </row>
    <row r="10" customFormat="false" ht="15" hidden="false" customHeight="false" outlineLevel="0" collapsed="false">
      <c r="A10" s="26" t="s">
        <v>695</v>
      </c>
      <c r="B10" s="26" t="s">
        <v>653</v>
      </c>
      <c r="C10" s="10" t="n">
        <v>9</v>
      </c>
      <c r="D10" s="26"/>
      <c r="E10" s="9" t="s">
        <v>110</v>
      </c>
      <c r="F10" s="10" t="s">
        <v>696</v>
      </c>
      <c r="G10" s="9" t="s">
        <v>670</v>
      </c>
      <c r="H10" s="9" t="s">
        <v>697</v>
      </c>
      <c r="I10" s="9" t="s">
        <v>657</v>
      </c>
      <c r="J10" s="10"/>
      <c r="K10" s="9" t="s">
        <v>667</v>
      </c>
      <c r="L10" s="9" t="s">
        <v>110</v>
      </c>
      <c r="M10" s="9" t="s">
        <v>698</v>
      </c>
      <c r="N10" s="10"/>
    </row>
    <row r="11" customFormat="false" ht="29.85" hidden="false" customHeight="false" outlineLevel="0" collapsed="false">
      <c r="A11" s="26" t="s">
        <v>699</v>
      </c>
      <c r="B11" s="26" t="s">
        <v>653</v>
      </c>
      <c r="C11" s="10" t="n">
        <v>10</v>
      </c>
      <c r="D11" s="26"/>
      <c r="E11" s="9" t="s">
        <v>700</v>
      </c>
      <c r="F11" s="10" t="s">
        <v>701</v>
      </c>
      <c r="G11" s="9" t="s">
        <v>702</v>
      </c>
      <c r="H11" s="9" t="s">
        <v>703</v>
      </c>
      <c r="I11" s="9" t="s">
        <v>657</v>
      </c>
      <c r="J11" s="10"/>
      <c r="K11" s="9" t="s">
        <v>667</v>
      </c>
      <c r="L11" s="9" t="s">
        <v>704</v>
      </c>
      <c r="M11" s="9" t="s">
        <v>705</v>
      </c>
      <c r="N11" s="9" t="s">
        <v>706</v>
      </c>
    </row>
    <row r="12" customFormat="false" ht="15" hidden="false" customHeight="false" outlineLevel="0" collapsed="false">
      <c r="A12" s="26" t="s">
        <v>707</v>
      </c>
      <c r="B12" s="26" t="s">
        <v>653</v>
      </c>
      <c r="C12" s="10" t="n">
        <v>11</v>
      </c>
      <c r="D12" s="26"/>
      <c r="E12" s="9" t="s">
        <v>708</v>
      </c>
      <c r="F12" s="10" t="s">
        <v>709</v>
      </c>
      <c r="G12" s="9" t="s">
        <v>670</v>
      </c>
      <c r="H12" s="9" t="s">
        <v>710</v>
      </c>
      <c r="I12" s="9" t="s">
        <v>711</v>
      </c>
      <c r="J12" s="10" t="s">
        <v>712</v>
      </c>
      <c r="K12" s="9" t="s">
        <v>667</v>
      </c>
      <c r="L12" s="9" t="s">
        <v>708</v>
      </c>
      <c r="M12" s="10" t="s">
        <v>713</v>
      </c>
      <c r="N12" s="10"/>
    </row>
    <row r="13" customFormat="false" ht="44" hidden="false" customHeight="false" outlineLevel="0" collapsed="false">
      <c r="A13" s="14" t="s">
        <v>714</v>
      </c>
      <c r="B13" s="14" t="s">
        <v>715</v>
      </c>
      <c r="C13" s="10" t="n">
        <v>1</v>
      </c>
      <c r="D13" s="13"/>
      <c r="E13" s="9" t="s">
        <v>716</v>
      </c>
      <c r="F13" s="10" t="s">
        <v>717</v>
      </c>
      <c r="G13" s="9" t="s">
        <v>702</v>
      </c>
      <c r="H13" s="9" t="s">
        <v>718</v>
      </c>
      <c r="I13" s="9" t="s">
        <v>657</v>
      </c>
      <c r="J13" s="10"/>
      <c r="K13" s="9" t="s">
        <v>719</v>
      </c>
      <c r="L13" s="9" t="s">
        <v>641</v>
      </c>
      <c r="M13" s="9" t="s">
        <v>720</v>
      </c>
      <c r="N13" s="9" t="s">
        <v>721</v>
      </c>
    </row>
    <row r="14" customFormat="false" ht="29.85" hidden="false" customHeight="false" outlineLevel="0" collapsed="false">
      <c r="A14" s="14" t="s">
        <v>722</v>
      </c>
      <c r="B14" s="14" t="s">
        <v>715</v>
      </c>
      <c r="C14" s="10" t="n">
        <v>10</v>
      </c>
      <c r="D14" s="14" t="s">
        <v>723</v>
      </c>
      <c r="E14" s="9" t="s">
        <v>724</v>
      </c>
      <c r="F14" s="10" t="s">
        <v>725</v>
      </c>
      <c r="G14" s="9" t="s">
        <v>117</v>
      </c>
      <c r="H14" s="9" t="s">
        <v>726</v>
      </c>
      <c r="I14" s="9" t="s">
        <v>711</v>
      </c>
      <c r="J14" s="10"/>
      <c r="K14" s="9" t="s">
        <v>667</v>
      </c>
      <c r="L14" s="9" t="s">
        <v>724</v>
      </c>
      <c r="M14" s="10" t="s">
        <v>727</v>
      </c>
      <c r="N14" s="10" t="s">
        <v>728</v>
      </c>
    </row>
    <row r="15" customFormat="false" ht="15" hidden="false" customHeight="false" outlineLevel="0" collapsed="false">
      <c r="A15" s="14" t="s">
        <v>729</v>
      </c>
      <c r="B15" s="14" t="s">
        <v>715</v>
      </c>
      <c r="C15" s="10" t="n">
        <v>11</v>
      </c>
      <c r="D15" s="14" t="s">
        <v>730</v>
      </c>
      <c r="E15" s="9" t="s">
        <v>731</v>
      </c>
      <c r="F15" s="10" t="s">
        <v>732</v>
      </c>
      <c r="G15" s="9" t="s">
        <v>665</v>
      </c>
      <c r="H15" s="10" t="s">
        <v>733</v>
      </c>
      <c r="I15" s="9" t="s">
        <v>711</v>
      </c>
      <c r="J15" s="10" t="s">
        <v>734</v>
      </c>
      <c r="K15" s="9" t="s">
        <v>667</v>
      </c>
      <c r="L15" s="9" t="s">
        <v>735</v>
      </c>
      <c r="M15" s="10" t="s">
        <v>736</v>
      </c>
      <c r="N15" s="10" t="s">
        <v>737</v>
      </c>
    </row>
    <row r="16" customFormat="false" ht="29.85" hidden="false" customHeight="false" outlineLevel="0" collapsed="false">
      <c r="A16" s="14" t="s">
        <v>738</v>
      </c>
      <c r="B16" s="14" t="s">
        <v>715</v>
      </c>
      <c r="C16" s="10" t="n">
        <v>20</v>
      </c>
      <c r="D16" s="14" t="s">
        <v>739</v>
      </c>
      <c r="E16" s="9" t="s">
        <v>740</v>
      </c>
      <c r="F16" s="10" t="s">
        <v>741</v>
      </c>
      <c r="G16" s="9" t="s">
        <v>670</v>
      </c>
      <c r="H16" s="9" t="s">
        <v>742</v>
      </c>
      <c r="I16" s="9" t="s">
        <v>711</v>
      </c>
      <c r="J16" s="10" t="s">
        <v>712</v>
      </c>
      <c r="K16" s="9" t="s">
        <v>667</v>
      </c>
      <c r="L16" s="9" t="s">
        <v>740</v>
      </c>
      <c r="M16" s="9" t="s">
        <v>743</v>
      </c>
      <c r="N16" s="10"/>
    </row>
    <row r="17" customFormat="false" ht="15" hidden="false" customHeight="false" outlineLevel="0" collapsed="false">
      <c r="A17" s="14" t="s">
        <v>744</v>
      </c>
      <c r="B17" s="14" t="s">
        <v>715</v>
      </c>
      <c r="C17" s="10" t="n">
        <v>21</v>
      </c>
      <c r="D17" s="14" t="s">
        <v>739</v>
      </c>
      <c r="E17" s="9" t="s">
        <v>745</v>
      </c>
      <c r="F17" s="10" t="s">
        <v>746</v>
      </c>
      <c r="G17" s="9" t="s">
        <v>670</v>
      </c>
      <c r="H17" s="9" t="s">
        <v>747</v>
      </c>
      <c r="I17" s="9" t="s">
        <v>711</v>
      </c>
      <c r="J17" s="10"/>
      <c r="K17" s="9" t="s">
        <v>667</v>
      </c>
      <c r="L17" s="9" t="s">
        <v>745</v>
      </c>
      <c r="M17" s="10" t="s">
        <v>748</v>
      </c>
      <c r="N17" s="10" t="s">
        <v>749</v>
      </c>
    </row>
    <row r="18" customFormat="false" ht="15" hidden="false" customHeight="false" outlineLevel="0" collapsed="false">
      <c r="A18" s="14" t="s">
        <v>750</v>
      </c>
      <c r="B18" s="14" t="s">
        <v>715</v>
      </c>
      <c r="C18" s="10" t="n">
        <v>22</v>
      </c>
      <c r="D18" s="14" t="s">
        <v>739</v>
      </c>
      <c r="E18" s="9" t="s">
        <v>233</v>
      </c>
      <c r="F18" s="10" t="s">
        <v>751</v>
      </c>
      <c r="G18" s="9" t="s">
        <v>665</v>
      </c>
      <c r="H18" s="9" t="s">
        <v>752</v>
      </c>
      <c r="I18" s="9" t="s">
        <v>711</v>
      </c>
      <c r="J18" s="10" t="s">
        <v>712</v>
      </c>
      <c r="K18" s="9" t="s">
        <v>753</v>
      </c>
      <c r="L18" s="9" t="s">
        <v>754</v>
      </c>
      <c r="M18" s="10" t="s">
        <v>755</v>
      </c>
      <c r="N18" s="10" t="s">
        <v>756</v>
      </c>
    </row>
    <row r="19" customFormat="false" ht="15" hidden="false" customHeight="false" outlineLevel="0" collapsed="false">
      <c r="A19" s="14" t="s">
        <v>757</v>
      </c>
      <c r="B19" s="14" t="s">
        <v>715</v>
      </c>
      <c r="C19" s="10" t="n">
        <v>30</v>
      </c>
      <c r="D19" s="14" t="s">
        <v>758</v>
      </c>
      <c r="E19" s="9" t="s">
        <v>313</v>
      </c>
      <c r="F19" s="10" t="s">
        <v>759</v>
      </c>
      <c r="G19" s="9" t="s">
        <v>117</v>
      </c>
      <c r="H19" s="9" t="s">
        <v>726</v>
      </c>
      <c r="I19" s="9" t="s">
        <v>711</v>
      </c>
      <c r="J19" s="10"/>
      <c r="K19" s="9" t="s">
        <v>667</v>
      </c>
      <c r="L19" s="9" t="s">
        <v>313</v>
      </c>
      <c r="M19" s="10" t="s">
        <v>760</v>
      </c>
      <c r="N19" s="10"/>
    </row>
    <row r="20" customFormat="false" ht="26.85" hidden="false" customHeight="false" outlineLevel="0" collapsed="false">
      <c r="A20" s="14" t="s">
        <v>761</v>
      </c>
      <c r="B20" s="14" t="s">
        <v>715</v>
      </c>
      <c r="C20" s="10" t="n">
        <v>31</v>
      </c>
      <c r="D20" s="14" t="s">
        <v>758</v>
      </c>
      <c r="E20" s="9" t="s">
        <v>762</v>
      </c>
      <c r="F20" s="10" t="s">
        <v>763</v>
      </c>
      <c r="G20" s="9" t="s">
        <v>665</v>
      </c>
      <c r="H20" s="9" t="s">
        <v>764</v>
      </c>
      <c r="I20" s="9" t="s">
        <v>711</v>
      </c>
      <c r="J20" s="10" t="s">
        <v>712</v>
      </c>
      <c r="K20" s="9" t="s">
        <v>753</v>
      </c>
      <c r="L20" s="9" t="s">
        <v>765</v>
      </c>
      <c r="M20" s="10" t="s">
        <v>766</v>
      </c>
      <c r="N20" s="10"/>
    </row>
    <row r="21" customFormat="false" ht="29.85" hidden="false" customHeight="false" outlineLevel="0" collapsed="false">
      <c r="A21" s="14" t="s">
        <v>767</v>
      </c>
      <c r="B21" s="14" t="s">
        <v>715</v>
      </c>
      <c r="C21" s="10" t="n">
        <v>40</v>
      </c>
      <c r="D21" s="14" t="s">
        <v>768</v>
      </c>
      <c r="E21" s="9" t="s">
        <v>769</v>
      </c>
      <c r="F21" s="10" t="s">
        <v>770</v>
      </c>
      <c r="G21" s="9" t="s">
        <v>670</v>
      </c>
      <c r="H21" s="9" t="s">
        <v>771</v>
      </c>
      <c r="I21" s="9" t="s">
        <v>711</v>
      </c>
      <c r="J21" s="10" t="s">
        <v>712</v>
      </c>
      <c r="K21" s="9" t="s">
        <v>667</v>
      </c>
      <c r="L21" s="9" t="s">
        <v>769</v>
      </c>
      <c r="M21" s="9" t="s">
        <v>772</v>
      </c>
      <c r="N21" s="10"/>
    </row>
    <row r="22" customFormat="false" ht="29.85" hidden="false" customHeight="false" outlineLevel="0" collapsed="false">
      <c r="A22" s="14" t="s">
        <v>773</v>
      </c>
      <c r="B22" s="14" t="s">
        <v>715</v>
      </c>
      <c r="C22" s="10" t="n">
        <v>41</v>
      </c>
      <c r="D22" s="14" t="s">
        <v>768</v>
      </c>
      <c r="E22" s="9" t="s">
        <v>774</v>
      </c>
      <c r="F22" s="10" t="s">
        <v>775</v>
      </c>
      <c r="G22" s="9" t="s">
        <v>665</v>
      </c>
      <c r="H22" s="9" t="s">
        <v>776</v>
      </c>
      <c r="I22" s="9" t="s">
        <v>711</v>
      </c>
      <c r="J22" s="10" t="s">
        <v>712</v>
      </c>
      <c r="K22" s="9" t="s">
        <v>753</v>
      </c>
      <c r="L22" s="9" t="s">
        <v>777</v>
      </c>
      <c r="M22" s="9" t="s">
        <v>778</v>
      </c>
      <c r="N22" s="9" t="s">
        <v>779</v>
      </c>
    </row>
    <row r="23" customFormat="false" ht="15" hidden="false" customHeight="false" outlineLevel="0" collapsed="false">
      <c r="A23" s="14" t="s">
        <v>780</v>
      </c>
      <c r="B23" s="14" t="s">
        <v>715</v>
      </c>
      <c r="C23" s="10" t="n">
        <v>42</v>
      </c>
      <c r="D23" s="14" t="s">
        <v>768</v>
      </c>
      <c r="E23" s="9" t="s">
        <v>781</v>
      </c>
      <c r="F23" s="10" t="s">
        <v>782</v>
      </c>
      <c r="G23" s="9" t="s">
        <v>670</v>
      </c>
      <c r="H23" s="9" t="s">
        <v>783</v>
      </c>
      <c r="I23" s="9" t="s">
        <v>711</v>
      </c>
      <c r="J23" s="10" t="s">
        <v>712</v>
      </c>
      <c r="K23" s="9" t="s">
        <v>667</v>
      </c>
      <c r="L23" s="9" t="s">
        <v>781</v>
      </c>
      <c r="M23" s="10" t="s">
        <v>784</v>
      </c>
      <c r="N23" s="10"/>
    </row>
    <row r="24" customFormat="false" ht="15" hidden="false" customHeight="false" outlineLevel="0" collapsed="false">
      <c r="A24" s="14" t="s">
        <v>785</v>
      </c>
      <c r="B24" s="14" t="s">
        <v>715</v>
      </c>
      <c r="C24" s="10" t="n">
        <v>50</v>
      </c>
      <c r="D24" s="14" t="s">
        <v>786</v>
      </c>
      <c r="E24" s="9" t="s">
        <v>787</v>
      </c>
      <c r="F24" s="10" t="s">
        <v>788</v>
      </c>
      <c r="G24" s="9" t="s">
        <v>670</v>
      </c>
      <c r="H24" s="9" t="s">
        <v>789</v>
      </c>
      <c r="I24" s="9" t="s">
        <v>711</v>
      </c>
      <c r="J24" s="10" t="s">
        <v>712</v>
      </c>
      <c r="K24" s="9" t="s">
        <v>667</v>
      </c>
      <c r="L24" s="9" t="s">
        <v>787</v>
      </c>
      <c r="M24" s="10" t="s">
        <v>790</v>
      </c>
      <c r="N24" s="10"/>
    </row>
    <row r="25" customFormat="false" ht="15" hidden="false" customHeight="false" outlineLevel="0" collapsed="false">
      <c r="A25" s="14" t="s">
        <v>791</v>
      </c>
      <c r="B25" s="14" t="s">
        <v>715</v>
      </c>
      <c r="C25" s="10" t="n">
        <v>51</v>
      </c>
      <c r="D25" s="14" t="s">
        <v>786</v>
      </c>
      <c r="E25" s="9" t="s">
        <v>792</v>
      </c>
      <c r="F25" s="10" t="s">
        <v>793</v>
      </c>
      <c r="G25" s="9" t="s">
        <v>665</v>
      </c>
      <c r="H25" s="9" t="s">
        <v>794</v>
      </c>
      <c r="I25" s="9" t="s">
        <v>711</v>
      </c>
      <c r="J25" s="10" t="s">
        <v>712</v>
      </c>
      <c r="K25" s="9" t="s">
        <v>753</v>
      </c>
      <c r="L25" s="9" t="s">
        <v>795</v>
      </c>
      <c r="M25" s="9" t="s">
        <v>796</v>
      </c>
      <c r="N25" s="9" t="s">
        <v>797</v>
      </c>
    </row>
    <row r="26" customFormat="false" ht="29.85" hidden="false" customHeight="false" outlineLevel="0" collapsed="false">
      <c r="A26" s="14" t="s">
        <v>798</v>
      </c>
      <c r="B26" s="14" t="s">
        <v>715</v>
      </c>
      <c r="C26" s="10" t="n">
        <v>90</v>
      </c>
      <c r="D26" s="14" t="s">
        <v>799</v>
      </c>
      <c r="E26" s="9" t="s">
        <v>800</v>
      </c>
      <c r="F26" s="10" t="s">
        <v>801</v>
      </c>
      <c r="G26" s="9" t="s">
        <v>802</v>
      </c>
      <c r="H26" s="9" t="s">
        <v>803</v>
      </c>
      <c r="I26" s="9" t="s">
        <v>711</v>
      </c>
      <c r="J26" s="10" t="s">
        <v>712</v>
      </c>
      <c r="K26" s="9" t="s">
        <v>753</v>
      </c>
      <c r="L26" s="9" t="s">
        <v>804</v>
      </c>
      <c r="M26" s="10" t="s">
        <v>805</v>
      </c>
      <c r="N26" s="9" t="s">
        <v>806</v>
      </c>
    </row>
    <row r="27" customFormat="false" ht="58.2" hidden="false" customHeight="false" outlineLevel="0" collapsed="false">
      <c r="A27" s="18" t="s">
        <v>807</v>
      </c>
      <c r="B27" s="18" t="s">
        <v>808</v>
      </c>
      <c r="C27" s="10" t="n">
        <v>1</v>
      </c>
      <c r="D27" s="17"/>
      <c r="E27" s="9" t="s">
        <v>809</v>
      </c>
      <c r="F27" s="10" t="s">
        <v>810</v>
      </c>
      <c r="G27" s="9" t="s">
        <v>702</v>
      </c>
      <c r="H27" s="9" t="s">
        <v>811</v>
      </c>
      <c r="I27" s="9" t="s">
        <v>657</v>
      </c>
      <c r="J27" s="10"/>
      <c r="K27" s="9" t="s">
        <v>812</v>
      </c>
      <c r="L27" s="9" t="s">
        <v>813</v>
      </c>
      <c r="M27" s="10" t="s">
        <v>814</v>
      </c>
      <c r="N27" s="9" t="s">
        <v>721</v>
      </c>
    </row>
    <row r="28" customFormat="false" ht="15" hidden="false" customHeight="false" outlineLevel="0" collapsed="false">
      <c r="A28" s="18" t="s">
        <v>815</v>
      </c>
      <c r="B28" s="18" t="s">
        <v>808</v>
      </c>
      <c r="C28" s="10" t="n">
        <v>2</v>
      </c>
      <c r="D28" s="17"/>
      <c r="E28" s="9" t="s">
        <v>816</v>
      </c>
      <c r="F28" s="10" t="s">
        <v>817</v>
      </c>
      <c r="G28" s="9" t="s">
        <v>670</v>
      </c>
      <c r="H28" s="9" t="s">
        <v>818</v>
      </c>
      <c r="I28" s="9" t="s">
        <v>657</v>
      </c>
      <c r="J28" s="10"/>
      <c r="K28" s="9" t="s">
        <v>658</v>
      </c>
      <c r="L28" s="9" t="s">
        <v>819</v>
      </c>
      <c r="M28" s="10" t="s">
        <v>820</v>
      </c>
      <c r="N28" s="10"/>
    </row>
    <row r="29" customFormat="false" ht="15" hidden="false" customHeight="false" outlineLevel="0" collapsed="false">
      <c r="A29" s="18" t="s">
        <v>821</v>
      </c>
      <c r="B29" s="18" t="s">
        <v>808</v>
      </c>
      <c r="C29" s="10" t="n">
        <v>3</v>
      </c>
      <c r="D29" s="18" t="s">
        <v>822</v>
      </c>
      <c r="E29" s="9" t="s">
        <v>823</v>
      </c>
      <c r="F29" s="10" t="s">
        <v>824</v>
      </c>
      <c r="G29" s="9" t="s">
        <v>117</v>
      </c>
      <c r="H29" s="9" t="s">
        <v>726</v>
      </c>
      <c r="I29" s="9" t="s">
        <v>711</v>
      </c>
      <c r="J29" s="10"/>
      <c r="K29" s="9" t="s">
        <v>658</v>
      </c>
      <c r="L29" s="9" t="s">
        <v>823</v>
      </c>
      <c r="M29" s="10" t="s">
        <v>825</v>
      </c>
      <c r="N29" s="9" t="s">
        <v>826</v>
      </c>
    </row>
    <row r="30" customFormat="false" ht="23.85" hidden="false" customHeight="false" outlineLevel="0" collapsed="false">
      <c r="A30" s="18" t="s">
        <v>827</v>
      </c>
      <c r="B30" s="18" t="s">
        <v>808</v>
      </c>
      <c r="C30" s="10" t="n">
        <v>10</v>
      </c>
      <c r="D30" s="18" t="s">
        <v>828</v>
      </c>
      <c r="E30" s="9" t="s">
        <v>829</v>
      </c>
      <c r="F30" s="10" t="s">
        <v>830</v>
      </c>
      <c r="G30" s="9" t="s">
        <v>665</v>
      </c>
      <c r="H30" s="10" t="s">
        <v>831</v>
      </c>
      <c r="I30" s="9" t="s">
        <v>711</v>
      </c>
      <c r="J30" s="10" t="s">
        <v>712</v>
      </c>
      <c r="K30" s="9" t="s">
        <v>753</v>
      </c>
      <c r="L30" s="9" t="s">
        <v>832</v>
      </c>
      <c r="M30" s="10" t="s">
        <v>833</v>
      </c>
      <c r="N30" s="10" t="s">
        <v>834</v>
      </c>
    </row>
    <row r="31" customFormat="false" ht="15" hidden="false" customHeight="false" outlineLevel="0" collapsed="false">
      <c r="A31" s="18" t="s">
        <v>835</v>
      </c>
      <c r="B31" s="18" t="s">
        <v>808</v>
      </c>
      <c r="C31" s="10" t="n">
        <v>11</v>
      </c>
      <c r="D31" s="18" t="s">
        <v>828</v>
      </c>
      <c r="E31" s="9" t="s">
        <v>836</v>
      </c>
      <c r="F31" s="10" t="s">
        <v>837</v>
      </c>
      <c r="G31" s="9" t="s">
        <v>670</v>
      </c>
      <c r="H31" s="9" t="s">
        <v>838</v>
      </c>
      <c r="I31" s="9" t="s">
        <v>711</v>
      </c>
      <c r="J31" s="10"/>
      <c r="K31" s="9" t="s">
        <v>812</v>
      </c>
      <c r="L31" s="9" t="s">
        <v>839</v>
      </c>
      <c r="M31" s="10" t="s">
        <v>840</v>
      </c>
      <c r="N31" s="10"/>
    </row>
    <row r="32" customFormat="false" ht="15" hidden="false" customHeight="false" outlineLevel="0" collapsed="false">
      <c r="A32" s="18" t="s">
        <v>841</v>
      </c>
      <c r="B32" s="18" t="s">
        <v>808</v>
      </c>
      <c r="C32" s="10" t="n">
        <v>20</v>
      </c>
      <c r="D32" s="18" t="s">
        <v>842</v>
      </c>
      <c r="E32" s="9" t="s">
        <v>843</v>
      </c>
      <c r="F32" s="10" t="s">
        <v>844</v>
      </c>
      <c r="G32" s="9" t="s">
        <v>665</v>
      </c>
      <c r="H32" s="9" t="s">
        <v>845</v>
      </c>
      <c r="I32" s="9" t="s">
        <v>711</v>
      </c>
      <c r="J32" s="10" t="s">
        <v>712</v>
      </c>
      <c r="K32" s="9" t="s">
        <v>753</v>
      </c>
      <c r="L32" s="9" t="s">
        <v>846</v>
      </c>
      <c r="M32" s="10" t="s">
        <v>847</v>
      </c>
      <c r="N32" s="10"/>
    </row>
    <row r="33" customFormat="false" ht="15" hidden="false" customHeight="false" outlineLevel="0" collapsed="false">
      <c r="A33" s="18" t="s">
        <v>848</v>
      </c>
      <c r="B33" s="18" t="s">
        <v>808</v>
      </c>
      <c r="C33" s="10" t="n">
        <v>21</v>
      </c>
      <c r="D33" s="18" t="s">
        <v>842</v>
      </c>
      <c r="E33" s="9" t="s">
        <v>849</v>
      </c>
      <c r="F33" s="10" t="s">
        <v>850</v>
      </c>
      <c r="G33" s="9" t="s">
        <v>117</v>
      </c>
      <c r="H33" s="9" t="s">
        <v>726</v>
      </c>
      <c r="I33" s="9" t="s">
        <v>711</v>
      </c>
      <c r="J33" s="10"/>
      <c r="K33" s="9" t="s">
        <v>812</v>
      </c>
      <c r="L33" s="9" t="s">
        <v>851</v>
      </c>
      <c r="M33" s="10" t="s">
        <v>852</v>
      </c>
      <c r="N33" s="10"/>
    </row>
    <row r="34" customFormat="false" ht="15" hidden="false" customHeight="false" outlineLevel="0" collapsed="false">
      <c r="A34" s="18" t="s">
        <v>853</v>
      </c>
      <c r="B34" s="18" t="s">
        <v>808</v>
      </c>
      <c r="C34" s="10" t="n">
        <v>25</v>
      </c>
      <c r="D34" s="18" t="s">
        <v>854</v>
      </c>
      <c r="E34" s="9" t="s">
        <v>855</v>
      </c>
      <c r="F34" s="10" t="s">
        <v>856</v>
      </c>
      <c r="G34" s="9" t="s">
        <v>665</v>
      </c>
      <c r="H34" s="10" t="s">
        <v>857</v>
      </c>
      <c r="I34" s="9" t="s">
        <v>711</v>
      </c>
      <c r="J34" s="10" t="s">
        <v>712</v>
      </c>
      <c r="K34" s="9" t="s">
        <v>753</v>
      </c>
      <c r="L34" s="9" t="s">
        <v>858</v>
      </c>
      <c r="M34" s="10" t="s">
        <v>859</v>
      </c>
      <c r="N34" s="9" t="s">
        <v>860</v>
      </c>
    </row>
    <row r="35" customFormat="false" ht="15" hidden="false" customHeight="false" outlineLevel="0" collapsed="false">
      <c r="A35" s="18" t="s">
        <v>861</v>
      </c>
      <c r="B35" s="18" t="s">
        <v>808</v>
      </c>
      <c r="C35" s="10" t="n">
        <v>30</v>
      </c>
      <c r="D35" s="18" t="s">
        <v>862</v>
      </c>
      <c r="E35" s="9" t="s">
        <v>863</v>
      </c>
      <c r="F35" s="10" t="s">
        <v>864</v>
      </c>
      <c r="G35" s="9" t="s">
        <v>665</v>
      </c>
      <c r="H35" s="9" t="s">
        <v>865</v>
      </c>
      <c r="I35" s="9" t="s">
        <v>711</v>
      </c>
      <c r="J35" s="10" t="s">
        <v>712</v>
      </c>
      <c r="K35" s="9" t="s">
        <v>753</v>
      </c>
      <c r="L35" s="9" t="s">
        <v>866</v>
      </c>
      <c r="M35" s="10" t="s">
        <v>867</v>
      </c>
      <c r="N35" s="10" t="s">
        <v>868</v>
      </c>
    </row>
    <row r="36" customFormat="false" ht="23.85" hidden="false" customHeight="false" outlineLevel="0" collapsed="false">
      <c r="A36" s="18" t="s">
        <v>869</v>
      </c>
      <c r="B36" s="18" t="s">
        <v>808</v>
      </c>
      <c r="C36" s="10" t="n">
        <v>40</v>
      </c>
      <c r="D36" s="18" t="s">
        <v>870</v>
      </c>
      <c r="E36" s="9" t="s">
        <v>79</v>
      </c>
      <c r="F36" s="10" t="s">
        <v>871</v>
      </c>
      <c r="G36" s="9" t="s">
        <v>665</v>
      </c>
      <c r="H36" s="9" t="s">
        <v>872</v>
      </c>
      <c r="I36" s="9" t="s">
        <v>711</v>
      </c>
      <c r="J36" s="10" t="s">
        <v>712</v>
      </c>
      <c r="K36" s="9" t="s">
        <v>873</v>
      </c>
      <c r="L36" s="9" t="s">
        <v>874</v>
      </c>
      <c r="M36" s="9" t="s">
        <v>875</v>
      </c>
      <c r="N36" s="10"/>
    </row>
    <row r="37" customFormat="false" ht="15" hidden="false" customHeight="false" outlineLevel="0" collapsed="false">
      <c r="A37" s="18" t="s">
        <v>876</v>
      </c>
      <c r="B37" s="18" t="s">
        <v>808</v>
      </c>
      <c r="C37" s="10" t="n">
        <v>50</v>
      </c>
      <c r="D37" s="18" t="s">
        <v>877</v>
      </c>
      <c r="E37" s="9" t="s">
        <v>878</v>
      </c>
      <c r="F37" s="10" t="s">
        <v>879</v>
      </c>
      <c r="G37" s="9" t="s">
        <v>670</v>
      </c>
      <c r="H37" s="9" t="s">
        <v>880</v>
      </c>
      <c r="I37" s="9" t="s">
        <v>711</v>
      </c>
      <c r="J37" s="10" t="s">
        <v>881</v>
      </c>
      <c r="K37" s="9" t="s">
        <v>753</v>
      </c>
      <c r="L37" s="9" t="s">
        <v>882</v>
      </c>
      <c r="M37" s="9" t="s">
        <v>883</v>
      </c>
      <c r="N37" s="10" t="s">
        <v>884</v>
      </c>
    </row>
    <row r="38" customFormat="false" ht="29.85" hidden="false" customHeight="false" outlineLevel="0" collapsed="false">
      <c r="A38" s="18" t="s">
        <v>885</v>
      </c>
      <c r="B38" s="18" t="s">
        <v>808</v>
      </c>
      <c r="C38" s="10" t="n">
        <v>90</v>
      </c>
      <c r="D38" s="18" t="s">
        <v>886</v>
      </c>
      <c r="E38" s="9" t="s">
        <v>887</v>
      </c>
      <c r="F38" s="9" t="s">
        <v>888</v>
      </c>
      <c r="G38" s="9" t="s">
        <v>889</v>
      </c>
      <c r="H38" s="10"/>
      <c r="I38" s="9" t="s">
        <v>711</v>
      </c>
      <c r="J38" s="10"/>
      <c r="K38" s="10"/>
      <c r="L38" s="10"/>
      <c r="M38" s="10" t="s">
        <v>890</v>
      </c>
      <c r="N38" s="10"/>
    </row>
    <row r="39" customFormat="false" ht="29.85" hidden="false" customHeight="false" outlineLevel="0" collapsed="false">
      <c r="A39" s="18" t="s">
        <v>891</v>
      </c>
      <c r="B39" s="18" t="s">
        <v>808</v>
      </c>
      <c r="C39" s="10" t="n">
        <v>91</v>
      </c>
      <c r="D39" s="18" t="s">
        <v>892</v>
      </c>
      <c r="E39" s="9" t="s">
        <v>893</v>
      </c>
      <c r="F39" s="9" t="s">
        <v>894</v>
      </c>
      <c r="G39" s="9" t="s">
        <v>889</v>
      </c>
      <c r="H39" s="10"/>
      <c r="I39" s="9" t="s">
        <v>711</v>
      </c>
      <c r="J39" s="10"/>
      <c r="K39" s="10"/>
      <c r="L39" s="10"/>
      <c r="M39" s="10" t="s">
        <v>895</v>
      </c>
      <c r="N39" s="10"/>
    </row>
    <row r="40" customFormat="false" ht="29.85" hidden="false" customHeight="false" outlineLevel="0" collapsed="false">
      <c r="A40" s="18" t="s">
        <v>896</v>
      </c>
      <c r="B40" s="18" t="s">
        <v>808</v>
      </c>
      <c r="C40" s="10" t="n">
        <v>92</v>
      </c>
      <c r="D40" s="18" t="s">
        <v>897</v>
      </c>
      <c r="E40" s="9" t="s">
        <v>898</v>
      </c>
      <c r="F40" s="9" t="s">
        <v>899</v>
      </c>
      <c r="G40" s="9" t="s">
        <v>889</v>
      </c>
      <c r="H40" s="10"/>
      <c r="I40" s="9" t="s">
        <v>711</v>
      </c>
      <c r="J40" s="10"/>
      <c r="K40" s="10"/>
      <c r="L40" s="10"/>
      <c r="M40" s="10" t="s">
        <v>900</v>
      </c>
      <c r="N40" s="10"/>
    </row>
    <row r="41" customFormat="false" ht="23.85" hidden="false" customHeight="false" outlineLevel="0" collapsed="false">
      <c r="A41" s="9" t="s">
        <v>901</v>
      </c>
      <c r="B41" s="9" t="s">
        <v>902</v>
      </c>
      <c r="C41" s="10" t="n">
        <v>1</v>
      </c>
      <c r="D41" s="10"/>
      <c r="E41" s="9" t="s">
        <v>903</v>
      </c>
      <c r="F41" s="10" t="s">
        <v>904</v>
      </c>
      <c r="G41" s="9" t="s">
        <v>670</v>
      </c>
      <c r="H41" s="9" t="s">
        <v>905</v>
      </c>
      <c r="I41" s="9" t="s">
        <v>657</v>
      </c>
      <c r="J41" s="10"/>
      <c r="K41" s="9" t="s">
        <v>906</v>
      </c>
      <c r="L41" s="9" t="s">
        <v>903</v>
      </c>
      <c r="M41" s="10" t="s">
        <v>907</v>
      </c>
      <c r="N41" s="10"/>
    </row>
    <row r="42" customFormat="false" ht="15" hidden="false" customHeight="false" outlineLevel="0" collapsed="false">
      <c r="A42" s="9" t="s">
        <v>908</v>
      </c>
      <c r="B42" s="9" t="s">
        <v>902</v>
      </c>
      <c r="C42" s="10" t="n">
        <v>2</v>
      </c>
      <c r="D42" s="10"/>
      <c r="E42" s="9" t="s">
        <v>909</v>
      </c>
      <c r="F42" s="10" t="s">
        <v>910</v>
      </c>
      <c r="G42" s="9" t="s">
        <v>911</v>
      </c>
      <c r="H42" s="9" t="s">
        <v>912</v>
      </c>
      <c r="I42" s="9" t="s">
        <v>657</v>
      </c>
      <c r="J42" s="10"/>
      <c r="K42" s="9" t="s">
        <v>658</v>
      </c>
      <c r="L42" s="9" t="s">
        <v>909</v>
      </c>
      <c r="M42" s="10"/>
      <c r="N42" s="10" t="s">
        <v>913</v>
      </c>
    </row>
  </sheetData>
  <autoFilter ref="A1:N4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0"/>
    <col collapsed="false" customWidth="true" hidden="false" outlineLevel="0" max="3" min="3" style="0" width="28"/>
    <col collapsed="false" customWidth="true" hidden="false" outlineLevel="0" max="4" min="4" style="0" width="14"/>
    <col collapsed="false" customWidth="true" hidden="false" outlineLevel="0" max="5" min="5" style="0" width="60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40"/>
  </cols>
  <sheetData>
    <row r="1" customFormat="false" ht="26.85" hidden="false" customHeight="false" outlineLevel="0" collapsed="false">
      <c r="A1" s="7" t="s">
        <v>914</v>
      </c>
      <c r="B1" s="7" t="s">
        <v>915</v>
      </c>
      <c r="C1" s="7" t="s">
        <v>916</v>
      </c>
      <c r="D1" s="7" t="s">
        <v>917</v>
      </c>
      <c r="E1" s="7" t="s">
        <v>918</v>
      </c>
      <c r="F1" s="7" t="s">
        <v>919</v>
      </c>
      <c r="G1" s="7" t="s">
        <v>920</v>
      </c>
      <c r="H1" s="7" t="s">
        <v>921</v>
      </c>
    </row>
    <row r="2" customFormat="false" ht="15" hidden="false" customHeight="false" outlineLevel="0" collapsed="false">
      <c r="A2" s="9" t="s">
        <v>922</v>
      </c>
      <c r="B2" s="9" t="s">
        <v>923</v>
      </c>
      <c r="C2" s="9" t="s">
        <v>923</v>
      </c>
      <c r="D2" s="9" t="s">
        <v>923</v>
      </c>
      <c r="E2" s="9" t="s">
        <v>924</v>
      </c>
      <c r="F2" s="9" t="s">
        <v>925</v>
      </c>
      <c r="G2" s="9" t="s">
        <v>926</v>
      </c>
      <c r="H2" s="10" t="s">
        <v>927</v>
      </c>
    </row>
    <row r="3" customFormat="false" ht="15" hidden="false" customHeight="false" outlineLevel="0" collapsed="false">
      <c r="A3" s="9" t="s">
        <v>928</v>
      </c>
      <c r="B3" s="9" t="s">
        <v>923</v>
      </c>
      <c r="C3" s="9" t="s">
        <v>929</v>
      </c>
      <c r="D3" s="9" t="s">
        <v>930</v>
      </c>
      <c r="E3" s="9" t="s">
        <v>931</v>
      </c>
      <c r="F3" s="9" t="s">
        <v>932</v>
      </c>
      <c r="G3" s="9" t="s">
        <v>926</v>
      </c>
      <c r="H3" s="10" t="s">
        <v>180</v>
      </c>
    </row>
    <row r="4" customFormat="false" ht="15" hidden="false" customHeight="false" outlineLevel="0" collapsed="false">
      <c r="A4" s="9" t="s">
        <v>933</v>
      </c>
      <c r="B4" s="9" t="s">
        <v>934</v>
      </c>
      <c r="C4" s="9" t="s">
        <v>935</v>
      </c>
      <c r="D4" s="9" t="s">
        <v>923</v>
      </c>
      <c r="E4" s="9" t="s">
        <v>936</v>
      </c>
      <c r="F4" s="9" t="s">
        <v>937</v>
      </c>
      <c r="G4" s="9" t="s">
        <v>938</v>
      </c>
      <c r="H4" s="10" t="s">
        <v>939</v>
      </c>
    </row>
    <row r="5" customFormat="false" ht="29.85" hidden="false" customHeight="false" outlineLevel="0" collapsed="false">
      <c r="A5" s="9" t="s">
        <v>940</v>
      </c>
      <c r="B5" s="9" t="s">
        <v>941</v>
      </c>
      <c r="C5" s="9" t="s">
        <v>942</v>
      </c>
      <c r="D5" s="9" t="s">
        <v>943</v>
      </c>
      <c r="E5" s="9" t="s">
        <v>944</v>
      </c>
      <c r="F5" s="9" t="s">
        <v>945</v>
      </c>
      <c r="G5" s="9" t="s">
        <v>938</v>
      </c>
      <c r="H5" s="10" t="s">
        <v>946</v>
      </c>
    </row>
    <row r="6" customFormat="false" ht="15" hidden="false" customHeight="false" outlineLevel="0" collapsed="false">
      <c r="A6" s="9" t="s">
        <v>947</v>
      </c>
      <c r="B6" s="9" t="s">
        <v>948</v>
      </c>
      <c r="C6" s="9" t="s">
        <v>923</v>
      </c>
      <c r="D6" s="9" t="s">
        <v>923</v>
      </c>
      <c r="E6" s="9" t="s">
        <v>949</v>
      </c>
      <c r="F6" s="9" t="s">
        <v>932</v>
      </c>
      <c r="G6" s="9" t="s">
        <v>938</v>
      </c>
      <c r="H6" s="10" t="s">
        <v>950</v>
      </c>
    </row>
    <row r="7" customFormat="false" ht="29.85" hidden="false" customHeight="false" outlineLevel="0" collapsed="false">
      <c r="A7" s="9" t="s">
        <v>951</v>
      </c>
      <c r="B7" s="9" t="s">
        <v>952</v>
      </c>
      <c r="C7" s="9" t="s">
        <v>953</v>
      </c>
      <c r="D7" s="9" t="s">
        <v>923</v>
      </c>
      <c r="E7" s="9" t="s">
        <v>954</v>
      </c>
      <c r="F7" s="9" t="s">
        <v>945</v>
      </c>
      <c r="G7" s="9" t="s">
        <v>938</v>
      </c>
      <c r="H7" s="10" t="s">
        <v>955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4"/>
    <col collapsed="false" customWidth="true" hidden="false" outlineLevel="0" max="3" min="3" style="0" width="40"/>
    <col collapsed="false" customWidth="true" hidden="false" outlineLevel="0" max="4" min="4" style="0" width="24"/>
    <col collapsed="false" customWidth="true" hidden="false" outlineLevel="0" max="5" min="5" style="0" width="40"/>
  </cols>
  <sheetData>
    <row r="1" customFormat="false" ht="15" hidden="false" customHeight="false" outlineLevel="0" collapsed="false">
      <c r="A1" s="7" t="s">
        <v>956</v>
      </c>
      <c r="B1" s="7" t="s">
        <v>957</v>
      </c>
      <c r="C1" s="7" t="s">
        <v>43</v>
      </c>
      <c r="D1" s="7" t="s">
        <v>958</v>
      </c>
      <c r="E1" s="7" t="s">
        <v>51</v>
      </c>
    </row>
    <row r="2" customFormat="false" ht="15" hidden="false" customHeight="false" outlineLevel="0" collapsed="false">
      <c r="A2" s="9" t="s">
        <v>658</v>
      </c>
      <c r="B2" s="9" t="s">
        <v>659</v>
      </c>
      <c r="C2" s="9" t="s">
        <v>959</v>
      </c>
      <c r="D2" s="9" t="s">
        <v>652</v>
      </c>
      <c r="E2" s="10"/>
    </row>
    <row r="3" customFormat="false" ht="15" hidden="false" customHeight="false" outlineLevel="0" collapsed="false">
      <c r="A3" s="9" t="s">
        <v>658</v>
      </c>
      <c r="B3" s="9" t="s">
        <v>909</v>
      </c>
      <c r="C3" s="9" t="s">
        <v>960</v>
      </c>
      <c r="D3" s="9" t="s">
        <v>908</v>
      </c>
      <c r="E3" s="10"/>
    </row>
    <row r="4" customFormat="false" ht="15" hidden="false" customHeight="false" outlineLevel="0" collapsed="false">
      <c r="A4" s="9" t="s">
        <v>658</v>
      </c>
      <c r="B4" s="9" t="s">
        <v>819</v>
      </c>
      <c r="C4" s="9" t="s">
        <v>961</v>
      </c>
      <c r="D4" s="9" t="s">
        <v>815</v>
      </c>
      <c r="E4" s="10"/>
    </row>
    <row r="5" customFormat="false" ht="15" hidden="false" customHeight="false" outlineLevel="0" collapsed="false">
      <c r="A5" s="9" t="s">
        <v>658</v>
      </c>
      <c r="B5" s="9" t="s">
        <v>823</v>
      </c>
      <c r="C5" s="9" t="s">
        <v>117</v>
      </c>
      <c r="D5" s="9" t="s">
        <v>821</v>
      </c>
      <c r="E5" s="10"/>
    </row>
    <row r="6" customFormat="false" ht="15" hidden="false" customHeight="false" outlineLevel="0" collapsed="false">
      <c r="A6" s="9" t="s">
        <v>658</v>
      </c>
      <c r="B6" s="9" t="s">
        <v>962</v>
      </c>
      <c r="C6" s="9" t="s">
        <v>963</v>
      </c>
      <c r="D6" s="9" t="s">
        <v>964</v>
      </c>
      <c r="E6" s="9" t="s">
        <v>965</v>
      </c>
    </row>
    <row r="7" customFormat="false" ht="15" hidden="false" customHeight="false" outlineLevel="0" collapsed="false">
      <c r="A7" s="9" t="s">
        <v>667</v>
      </c>
      <c r="B7" s="9" t="s">
        <v>966</v>
      </c>
      <c r="C7" s="9" t="s">
        <v>967</v>
      </c>
      <c r="D7" s="9" t="s">
        <v>968</v>
      </c>
      <c r="E7" s="9" t="s">
        <v>969</v>
      </c>
    </row>
    <row r="8" customFormat="false" ht="15" hidden="false" customHeight="false" outlineLevel="0" collapsed="false">
      <c r="A8" s="9" t="s">
        <v>667</v>
      </c>
      <c r="B8" s="9" t="s">
        <v>970</v>
      </c>
      <c r="C8" s="9" t="s">
        <v>971</v>
      </c>
      <c r="D8" s="9" t="s">
        <v>972</v>
      </c>
      <c r="E8" s="9" t="s">
        <v>973</v>
      </c>
    </row>
    <row r="9" customFormat="false" ht="15" hidden="false" customHeight="false" outlineLevel="0" collapsed="false">
      <c r="A9" s="9" t="s">
        <v>667</v>
      </c>
      <c r="B9" s="9" t="s">
        <v>700</v>
      </c>
      <c r="C9" s="9" t="s">
        <v>974</v>
      </c>
      <c r="D9" s="9" t="s">
        <v>699</v>
      </c>
      <c r="E9" s="10" t="s">
        <v>975</v>
      </c>
    </row>
    <row r="10" customFormat="false" ht="15" hidden="false" customHeight="false" outlineLevel="0" collapsed="false">
      <c r="A10" s="9" t="s">
        <v>667</v>
      </c>
      <c r="B10" s="9" t="s">
        <v>708</v>
      </c>
      <c r="C10" s="9" t="s">
        <v>976</v>
      </c>
      <c r="D10" s="9" t="s">
        <v>707</v>
      </c>
      <c r="E10" s="10"/>
    </row>
    <row r="11" customFormat="false" ht="15" hidden="false" customHeight="false" outlineLevel="0" collapsed="false">
      <c r="A11" s="9" t="s">
        <v>667</v>
      </c>
      <c r="B11" s="9" t="s">
        <v>977</v>
      </c>
      <c r="C11" s="9" t="s">
        <v>978</v>
      </c>
      <c r="D11" s="9" t="s">
        <v>979</v>
      </c>
      <c r="E11" s="9" t="s">
        <v>980</v>
      </c>
    </row>
    <row r="12" customFormat="false" ht="15" hidden="false" customHeight="false" outlineLevel="0" collapsed="false">
      <c r="A12" s="9" t="s">
        <v>667</v>
      </c>
      <c r="B12" s="9" t="s">
        <v>981</v>
      </c>
      <c r="C12" s="9" t="s">
        <v>982</v>
      </c>
      <c r="D12" s="9" t="s">
        <v>983</v>
      </c>
      <c r="E12" s="10"/>
    </row>
    <row r="13" customFormat="false" ht="15" hidden="false" customHeight="false" outlineLevel="0" collapsed="false">
      <c r="A13" s="9" t="s">
        <v>667</v>
      </c>
      <c r="B13" s="9" t="s">
        <v>313</v>
      </c>
      <c r="C13" s="9" t="s">
        <v>117</v>
      </c>
      <c r="D13" s="9" t="s">
        <v>757</v>
      </c>
      <c r="E13" s="10"/>
    </row>
    <row r="14" customFormat="false" ht="15" hidden="false" customHeight="false" outlineLevel="0" collapsed="false">
      <c r="A14" s="9" t="s">
        <v>667</v>
      </c>
      <c r="B14" s="9" t="s">
        <v>984</v>
      </c>
      <c r="C14" s="9" t="s">
        <v>985</v>
      </c>
      <c r="D14" s="9" t="s">
        <v>986</v>
      </c>
      <c r="E14" s="9" t="s">
        <v>987</v>
      </c>
    </row>
    <row r="15" customFormat="false" ht="15" hidden="false" customHeight="false" outlineLevel="0" collapsed="false">
      <c r="A15" s="9" t="s">
        <v>667</v>
      </c>
      <c r="B15" s="9" t="s">
        <v>787</v>
      </c>
      <c r="C15" s="9" t="s">
        <v>988</v>
      </c>
      <c r="D15" s="9" t="s">
        <v>785</v>
      </c>
      <c r="E15" s="10"/>
    </row>
    <row r="16" customFormat="false" ht="15" hidden="false" customHeight="false" outlineLevel="0" collapsed="false">
      <c r="A16" s="9" t="s">
        <v>667</v>
      </c>
      <c r="B16" s="9" t="s">
        <v>79</v>
      </c>
      <c r="C16" s="9" t="s">
        <v>989</v>
      </c>
      <c r="D16" s="9" t="s">
        <v>869</v>
      </c>
      <c r="E16" s="9" t="s">
        <v>990</v>
      </c>
    </row>
    <row r="17" customFormat="false" ht="23.85" hidden="false" customHeight="false" outlineLevel="0" collapsed="false">
      <c r="A17" s="9" t="s">
        <v>719</v>
      </c>
      <c r="B17" s="9" t="s">
        <v>991</v>
      </c>
      <c r="C17" s="9" t="s">
        <v>992</v>
      </c>
      <c r="D17" s="9" t="s">
        <v>714</v>
      </c>
      <c r="E17" s="9" t="s">
        <v>993</v>
      </c>
    </row>
    <row r="18" customFormat="false" ht="15" hidden="false" customHeight="false" outlineLevel="0" collapsed="false">
      <c r="A18" s="9" t="s">
        <v>812</v>
      </c>
      <c r="B18" s="9" t="s">
        <v>994</v>
      </c>
      <c r="C18" s="9" t="s">
        <v>995</v>
      </c>
      <c r="D18" s="9" t="s">
        <v>996</v>
      </c>
      <c r="E18" s="9" t="s">
        <v>997</v>
      </c>
    </row>
    <row r="19" customFormat="false" ht="35.05" hidden="false" customHeight="false" outlineLevel="0" collapsed="false">
      <c r="A19" s="9" t="s">
        <v>753</v>
      </c>
      <c r="B19" s="9" t="s">
        <v>998</v>
      </c>
      <c r="C19" s="9" t="s">
        <v>999</v>
      </c>
      <c r="D19" s="9" t="s">
        <v>1000</v>
      </c>
      <c r="E19" s="10" t="s">
        <v>1001</v>
      </c>
    </row>
    <row r="20" customFormat="false" ht="15" hidden="false" customHeight="false" outlineLevel="0" collapsed="false">
      <c r="A20" s="9" t="s">
        <v>906</v>
      </c>
      <c r="B20" s="9" t="s">
        <v>1002</v>
      </c>
      <c r="C20" s="9" t="s">
        <v>1003</v>
      </c>
      <c r="D20" s="9" t="s">
        <v>901</v>
      </c>
      <c r="E20" s="10"/>
    </row>
    <row r="21" customFormat="false" ht="23.85" hidden="false" customHeight="false" outlineLevel="0" collapsed="false">
      <c r="A21" s="9" t="s">
        <v>1004</v>
      </c>
      <c r="B21" s="9" t="s">
        <v>1005</v>
      </c>
      <c r="C21" s="9" t="s">
        <v>1006</v>
      </c>
      <c r="D21" s="9" t="s">
        <v>1007</v>
      </c>
      <c r="E21" s="10" t="s">
        <v>1008</v>
      </c>
    </row>
    <row r="22" customFormat="false" ht="23.85" hidden="false" customHeight="false" outlineLevel="0" collapsed="false">
      <c r="A22" s="9" t="s">
        <v>1009</v>
      </c>
      <c r="B22" s="9" t="s">
        <v>1010</v>
      </c>
      <c r="C22" s="9" t="s">
        <v>1011</v>
      </c>
      <c r="D22" s="10" t="s">
        <v>1012</v>
      </c>
      <c r="E22" s="10" t="s">
        <v>1013</v>
      </c>
    </row>
    <row r="23" customFormat="false" ht="23.85" hidden="false" customHeight="false" outlineLevel="0" collapsed="false">
      <c r="A23" s="9" t="s">
        <v>1014</v>
      </c>
      <c r="B23" s="9" t="s">
        <v>1015</v>
      </c>
      <c r="C23" s="9" t="s">
        <v>1016</v>
      </c>
      <c r="D23" s="10" t="s">
        <v>1017</v>
      </c>
      <c r="E23" s="10" t="s">
        <v>1018</v>
      </c>
    </row>
    <row r="24" customFormat="false" ht="35.05" hidden="false" customHeight="false" outlineLevel="0" collapsed="false">
      <c r="A24" s="9" t="s">
        <v>1019</v>
      </c>
      <c r="B24" s="9" t="s">
        <v>1020</v>
      </c>
      <c r="C24" s="10"/>
      <c r="D24" s="9" t="s">
        <v>1021</v>
      </c>
      <c r="E24" s="10" t="s">
        <v>1022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2026-09-22T05:17:03Z</dcterms:created>
  <dc:creator>openpyxl</dc:creator>
  <dc:description/>
  <dc:language>en-US</dc:language>
  <cp:lastModifiedBy/>
  <dcterms:modified xsi:type="dcterms:W3CDTF">2026-09-22T05:17:03Z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