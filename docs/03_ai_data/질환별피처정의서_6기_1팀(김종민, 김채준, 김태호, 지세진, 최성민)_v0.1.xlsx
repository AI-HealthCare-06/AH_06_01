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1. 공통 피처" sheetId="2" state="visible" r:id="rId4"/>
    <sheet name="2. 질환별 피처" sheetId="3" state="visible" r:id="rId5"/>
    <sheet name="3. 매트릭스" sheetId="4" state="visible" r:id="rId6"/>
    <sheet name="4. 밴드 기준값" sheetId="5" state="visible" r:id="rId7"/>
    <sheet name="5. 라벨 규칙" sheetId="6" state="visible" r:id="rId8"/>
    <sheet name="6. 근접도 지표" sheetId="7" state="visible" r:id="rId9"/>
  </sheets>
  <definedNames>
    <definedName function="false" hidden="true" localSheetId="2" name="_xlnm._FilterDatabase" vbProcedure="false">'2. 질환별 피처'!$A$1:$I$74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<sst xmlns="http://schemas.openxmlformats.org/spreadsheetml/2006/main" count="1298" uniqueCount="580">
  <si>
    <t xml:space="preserve">질환별 피처 정의서</t>
  </si>
  <si>
    <t xml:space="preserve">프로젝트</t>
  </si>
  <si>
    <r>
      <rPr>
        <sz val="10"/>
        <rFont val="Noto Sans CJK SC"/>
        <family val="2"/>
      </rPr>
      <t xml:space="preserve">만성질환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생활습관 챌린지 웹 서비스</t>
    </r>
  </si>
  <si>
    <t xml:space="preserve">팀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</si>
  <si>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헬스케어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김종민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김채준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김태호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지세진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최성민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넥스트러너스</t>
    </r>
  </si>
  <si>
    <r>
      <rPr>
        <b val="true"/>
        <sz val="10"/>
        <rFont val="Noto Sans CJK SC"/>
        <family val="2"/>
      </rPr>
      <t xml:space="preserve">버전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작성일</t>
    </r>
  </si>
  <si>
    <r>
      <rPr>
        <sz val="10"/>
        <rFont val="Arial"/>
        <family val="0"/>
        <charset val="1"/>
      </rPr>
      <t xml:space="preserve">v0.1 (</t>
    </r>
    <r>
      <rPr>
        <sz val="10"/>
        <rFont val="Noto Sans CJK SC"/>
        <family val="2"/>
      </rPr>
      <t xml:space="preserve">초안</t>
    </r>
    <r>
      <rPr>
        <sz val="10"/>
        <rFont val="Arial"/>
        <family val="0"/>
        <charset val="1"/>
      </rPr>
      <t xml:space="preserve">) / 2026-09-22 / AI </t>
    </r>
    <r>
      <rPr>
        <sz val="10"/>
        <rFont val="Noto Sans CJK SC"/>
        <family val="2"/>
      </rPr>
      <t xml:space="preserve">축</t>
    </r>
  </si>
  <si>
    <t xml:space="preserve">근거 문서</t>
  </si>
  <si>
    <r>
      <rPr>
        <sz val="10"/>
        <rFont val="Noto Sans CJK SC"/>
        <family val="2"/>
      </rPr>
      <t xml:space="preserve">요구사항 정의서 </t>
    </r>
    <r>
      <rPr>
        <sz val="10"/>
        <rFont val="Arial"/>
        <family val="0"/>
        <charset val="1"/>
      </rPr>
      <t xml:space="preserve">v0.1 (FR-PRED-01·02, FR-USER-02~09), docs/datasets.md v0.1 §3·§4</t>
    </r>
  </si>
  <si>
    <t xml:space="preserve">시트 안내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</si>
  <si>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공통 피처</t>
    </r>
  </si>
  <si>
    <r>
      <rPr>
        <sz val="10"/>
        <rFont val="Noto Sans CJK SC"/>
        <family val="2"/>
      </rPr>
      <t xml:space="preserve">모든 위험도 모델에 공통으로 들어가는 기반 피처 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코드명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데이터셋 변수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</si>
  <si>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질환별 피처</t>
    </r>
  </si>
  <si>
    <r>
      <rPr>
        <sz val="10"/>
        <rFont val="Noto Sans CJK SC"/>
        <family val="2"/>
      </rPr>
      <t xml:space="preserve">질환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항목 롱 포맷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모델 피처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라벨 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피처 제외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대시보드 밴드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퀘스트 축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</si>
  <si>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매트릭스</t>
    </r>
  </si>
  <si>
    <r>
      <rPr>
        <sz val="10"/>
        <rFont val="Noto Sans CJK SC"/>
        <family val="2"/>
      </rPr>
      <t xml:space="preserve">질환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피처 한눈에 보기</t>
    </r>
    <r>
      <rPr>
        <sz val="10"/>
        <rFont val="Arial"/>
        <family val="0"/>
        <charset val="1"/>
      </rPr>
      <t xml:space="preserve">. ●</t>
    </r>
    <r>
      <rPr>
        <sz val="10"/>
        <rFont val="Noto Sans CJK SC"/>
        <family val="2"/>
      </rPr>
      <t xml:space="preserve">주요 ○보조 밴드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모델 미사용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</si>
  <si>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밴드 기준값</t>
    </r>
  </si>
  <si>
    <r>
      <rPr>
        <sz val="10"/>
        <rFont val="Noto Sans CJK SC"/>
        <family val="2"/>
      </rPr>
      <t xml:space="preserve">대시보드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현재 상태 밴드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정상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위험 경계값 </t>
    </r>
    <r>
      <rPr>
        <sz val="10"/>
        <rFont val="Arial"/>
        <family val="0"/>
        <charset val="1"/>
      </rPr>
      <t xml:space="preserve">(docs/thresholds.md 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</si>
  <si>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라벨 규칙</t>
    </r>
  </si>
  <si>
    <t xml:space="preserve">학회 기준 → 데이터셋 컬럼으로 만드는 라벨 정의와 누수 제외 변수</t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</si>
  <si>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Noto Sans CJK SC"/>
        <family val="2"/>
      </rPr>
      <t xml:space="preserve">근접도 지표</t>
    </r>
  </si>
  <si>
    <r>
      <rPr>
        <sz val="10"/>
        <rFont val="Noto Sans CJK SC"/>
        <family val="2"/>
      </rPr>
      <t xml:space="preserve">환자 판정 기준을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로 두고 사용자가 얼마나 떨어져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넘어 있는지 계산하는 규칙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측정값 기반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결정적</t>
    </r>
    <r>
      <rPr>
        <sz val="10"/>
        <rFont val="Arial"/>
        <family val="0"/>
        <charset val="1"/>
      </rPr>
      <t xml:space="preserve">)</t>
    </r>
  </si>
  <si>
    <t xml:space="preserve">원칙</t>
  </si>
  <si>
    <r>
      <rPr>
        <sz val="10"/>
        <rFont val="Noto Sans CJK SC"/>
        <family val="2"/>
      </rPr>
      <t xml:space="preserve">라벨을 만든 측정값은 그 질환의 모델 피처에 넣지 않는다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 누수 방지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측정값은 대시보드 밴드로만 사용한다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피처 세트는 전 질환 공통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질환별 추가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개로 고정해 전처리 파이프라인을 하나로 유지한다</t>
    </r>
    <r>
      <rPr>
        <sz val="10"/>
        <rFont val="Arial"/>
        <family val="0"/>
        <charset val="1"/>
      </rPr>
      <t xml:space="preserve">.</t>
    </r>
  </si>
  <si>
    <t xml:space="preserve">색 범례</t>
  </si>
  <si>
    <r>
      <rPr>
        <sz val="10"/>
        <rFont val="Noto Sans CJK SC"/>
        <family val="2"/>
      </rPr>
      <t xml:space="preserve">초록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주요 피처 ●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노랑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보조 피처 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대시보드 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미사용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주황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라벨 정의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피처 제외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</si>
  <si>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요약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</t>
    </r>
  </si>
  <si>
    <t xml:space="preserve">공통 피처 수</t>
  </si>
  <si>
    <t xml:space="preserve">질환별 항목 수</t>
  </si>
  <si>
    <t xml:space="preserve">모델 피처 행 수</t>
  </si>
  <si>
    <r>
      <rPr>
        <b val="true"/>
        <sz val="10"/>
        <rFont val="Noto Sans CJK SC"/>
        <family val="2"/>
      </rPr>
      <t xml:space="preserve">라벨 정의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제외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행 수</t>
    </r>
  </si>
  <si>
    <t xml:space="preserve">코드명</t>
  </si>
  <si>
    <t xml:space="preserve">피처</t>
  </si>
  <si>
    <t xml:space="preserve">타입</t>
  </si>
  <si>
    <r>
      <rPr>
        <b val="true"/>
        <sz val="10"/>
        <color rgb="FFFFFFFF"/>
        <rFont val="Noto Sans CJK SC"/>
        <family val="2"/>
      </rPr>
      <t xml:space="preserve">값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단위</t>
    </r>
  </si>
  <si>
    <t xml:space="preserve">온보딩 입력 출처</t>
  </si>
  <si>
    <t xml:space="preserve">D1 KNHANES</t>
  </si>
  <si>
    <r>
      <rPr>
        <b val="true"/>
        <sz val="10"/>
        <color rgb="FFFFFFFF"/>
        <rFont val="Arial"/>
        <family val="0"/>
        <charset val="1"/>
      </rPr>
      <t xml:space="preserve">D2 </t>
    </r>
    <r>
      <rPr>
        <b val="true"/>
        <sz val="10"/>
        <color rgb="FFFFFFFF"/>
        <rFont val="Noto Sans CJK SC"/>
        <family val="2"/>
      </rPr>
      <t xml:space="preserve">건강검진정보</t>
    </r>
  </si>
  <si>
    <t xml:space="preserve">D3 BRFSS 2015</t>
  </si>
  <si>
    <t xml:space="preserve">D4 NHANES</t>
  </si>
  <si>
    <t xml:space="preserve">결측 처리</t>
  </si>
  <si>
    <t xml:space="preserve">비고</t>
  </si>
  <si>
    <t xml:space="preserve">age</t>
  </si>
  <si>
    <t xml:space="preserve">나이</t>
  </si>
  <si>
    <t xml:space="preserve">int</t>
  </si>
  <si>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(19~100)</t>
    </r>
  </si>
  <si>
    <t xml:space="preserve">생년</t>
  </si>
  <si>
    <r>
      <rPr>
        <sz val="10"/>
        <rFont val="Noto Sans CJK SC"/>
        <family val="2"/>
      </rPr>
      <t xml:space="preserve">연령대코드 →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세 구간 중앙값</t>
    </r>
  </si>
  <si>
    <r>
      <rPr>
        <sz val="10"/>
        <rFont val="Arial"/>
        <family val="0"/>
        <charset val="1"/>
      </rPr>
      <t xml:space="preserve">Age(13</t>
    </r>
    <r>
      <rPr>
        <sz val="10"/>
        <rFont val="Noto Sans CJK SC"/>
        <family val="2"/>
      </rPr>
      <t xml:space="preserve">구간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중앙값</t>
    </r>
  </si>
  <si>
    <t xml:space="preserve">RIDAGEYR</t>
  </si>
  <si>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결측 없음</t>
    </r>
  </si>
  <si>
    <t xml:space="preserve">sex</t>
  </si>
  <si>
    <t xml:space="preserve">성별</t>
  </si>
  <si>
    <t xml:space="preserve">cat</t>
  </si>
  <si>
    <t xml:space="preserve">male / female</t>
  </si>
  <si>
    <t xml:space="preserve">성별코드</t>
  </si>
  <si>
    <t xml:space="preserve">Sex</t>
  </si>
  <si>
    <t xml:space="preserve">RIAGENDR</t>
  </si>
  <si>
    <t xml:space="preserve">필수</t>
  </si>
  <si>
    <t xml:space="preserve">bmi</t>
  </si>
  <si>
    <t xml:space="preserve">체질량지수</t>
  </si>
  <si>
    <t xml:space="preserve">float</t>
  </si>
  <si>
    <r>
      <rPr>
        <sz val="10"/>
        <rFont val="Arial"/>
        <family val="0"/>
        <charset val="1"/>
      </rPr>
      <t xml:space="preserve">kg/m² (</t>
    </r>
    <r>
      <rPr>
        <sz val="10"/>
        <rFont val="Noto Sans CJK SC"/>
        <family val="2"/>
      </rPr>
      <t xml:space="preserve">소수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자리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</si>
  <si>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몸무게 → 서버 계산</t>
    </r>
  </si>
  <si>
    <t xml:space="preserve">HE_BMI</t>
  </si>
  <si>
    <r>
      <rPr>
        <sz val="10"/>
        <rFont val="Noto Sans CJK SC"/>
        <family val="2"/>
      </rPr>
      <t xml:space="preserve">신장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계산</t>
    </r>
  </si>
  <si>
    <t xml:space="preserve">BMI</t>
  </si>
  <si>
    <t xml:space="preserve">BMXBMI</t>
  </si>
  <si>
    <r>
      <rPr>
        <sz val="10"/>
        <rFont val="Arial"/>
        <family val="0"/>
        <charset val="1"/>
      </rPr>
      <t xml:space="preserve">D2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단위라 거칠음</t>
    </r>
  </si>
  <si>
    <t xml:space="preserve">waist_cm</t>
  </si>
  <si>
    <t xml:space="preserve">허리둘레</t>
  </si>
  <si>
    <t xml:space="preserve">cm (40~200)</t>
  </si>
  <si>
    <r>
      <rPr>
        <sz val="10"/>
        <rFont val="Noto Sans CJK SC"/>
        <family val="2"/>
      </rPr>
      <t xml:space="preserve">줄자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</si>
  <si>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t xml:space="preserve">HE_wc</t>
  </si>
  <si>
    <t xml:space="preserve">—</t>
  </si>
  <si>
    <t xml:space="preserve">BMXWAIST</t>
  </si>
  <si>
    <r>
      <rPr>
        <sz val="10"/>
        <rFont val="Noto Sans CJK SC"/>
        <family val="2"/>
      </rPr>
      <t xml:space="preserve">중앙값 대치 </t>
    </r>
    <r>
      <rPr>
        <sz val="10"/>
        <rFont val="Arial"/>
        <family val="0"/>
        <charset val="1"/>
      </rPr>
      <t xml:space="preserve">+ is_waist_missing </t>
    </r>
    <r>
      <rPr>
        <sz val="10"/>
        <rFont val="Noto Sans CJK SC"/>
        <family val="2"/>
      </rPr>
      <t xml:space="preserve">플래그</t>
    </r>
  </si>
  <si>
    <t xml:space="preserve">대사증후군 판정에도 사용</t>
  </si>
  <si>
    <t xml:space="preserve">smoking</t>
  </si>
  <si>
    <t xml:space="preserve">흡연</t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</si>
  <si>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비흡연 </t>
    </r>
    <r>
      <rPr>
        <sz val="10"/>
        <rFont val="Arial"/>
        <family val="0"/>
        <charset val="1"/>
      </rPr>
      <t xml:space="preserve">/ 1 </t>
    </r>
    <r>
      <rPr>
        <sz val="10"/>
        <rFont val="Noto Sans CJK SC"/>
        <family val="2"/>
      </rPr>
      <t xml:space="preserve">과거 </t>
    </r>
    <r>
      <rPr>
        <sz val="10"/>
        <rFont val="Arial"/>
        <family val="0"/>
        <charset val="1"/>
      </rPr>
      <t xml:space="preserve">/ 2 </t>
    </r>
    <r>
      <rPr>
        <sz val="10"/>
        <rFont val="Noto Sans CJK SC"/>
        <family val="2"/>
      </rPr>
      <t xml:space="preserve">현재</t>
    </r>
  </si>
  <si>
    <t xml:space="preserve">생활습관 설문</t>
  </si>
  <si>
    <r>
      <rPr>
        <sz val="10"/>
        <rFont val="Arial"/>
        <family val="0"/>
        <charset val="1"/>
      </rPr>
      <t xml:space="preserve">BS3_1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</si>
  <si>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흡연상태</t>
    </r>
    <r>
      <rPr>
        <sz val="10"/>
        <rFont val="Arial"/>
        <family val="0"/>
        <charset val="1"/>
      </rPr>
      <t xml:space="preserve">(1/2/3)</t>
    </r>
  </si>
  <si>
    <r>
      <rPr>
        <sz val="10"/>
        <rFont val="Arial"/>
        <family val="0"/>
        <charset val="1"/>
      </rPr>
      <t xml:space="preserve">Smoker(0/1) → 0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2</t>
    </r>
  </si>
  <si>
    <t xml:space="preserve">SMQ020·SMQ040</t>
  </si>
  <si>
    <t xml:space="preserve">alcohol_freq</t>
  </si>
  <si>
    <t xml:space="preserve">음주 빈도</t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</si>
  <si>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(0~7)</t>
    </r>
  </si>
  <si>
    <r>
      <rPr>
        <sz val="10"/>
        <rFont val="Arial"/>
        <family val="0"/>
        <charset val="1"/>
      </rPr>
      <t xml:space="preserve">BD1_11 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</si>
  <si>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음주여부</t>
    </r>
    <r>
      <rPr>
        <sz val="10"/>
        <rFont val="Arial"/>
        <family val="0"/>
        <charset val="1"/>
      </rPr>
      <t xml:space="preserve">(0/1)</t>
    </r>
  </si>
  <si>
    <t xml:space="preserve">HvyAlcoholConsump(0/1)</t>
  </si>
  <si>
    <t xml:space="preserve">ALQ121·ALQ130</t>
  </si>
  <si>
    <r>
      <rPr>
        <sz val="10"/>
        <rFont val="Arial"/>
        <family val="0"/>
        <charset val="1"/>
      </rPr>
      <t xml:space="preserve">D2·D3</t>
    </r>
    <r>
      <rPr>
        <sz val="10"/>
        <rFont val="Noto Sans CJK SC"/>
        <family val="2"/>
      </rPr>
      <t xml:space="preserve">는 이진 → </t>
    </r>
    <r>
      <rPr>
        <sz val="10"/>
        <rFont val="Arial"/>
        <family val="0"/>
        <charset val="1"/>
      </rPr>
      <t xml:space="preserve">0/3</t>
    </r>
    <r>
      <rPr>
        <sz val="10"/>
        <rFont val="Noto Sans CJK SC"/>
        <family val="2"/>
      </rPr>
      <t xml:space="preserve">회로 근사</t>
    </r>
  </si>
  <si>
    <t xml:space="preserve">exercise_freq</t>
  </si>
  <si>
    <t xml:space="preserve">운동 빈도</t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</si>
  <si>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30</t>
    </r>
    <r>
      <rPr>
        <sz val="10"/>
        <rFont val="Noto Sans CJK SC"/>
        <family val="2"/>
      </rPr>
      <t xml:space="preserve">분 이상 </t>
    </r>
    <r>
      <rPr>
        <sz val="10"/>
        <rFont val="Arial"/>
        <family val="0"/>
        <charset val="1"/>
      </rPr>
      <t xml:space="preserve">(0~7)</t>
    </r>
  </si>
  <si>
    <r>
      <rPr>
        <sz val="10"/>
        <rFont val="Arial"/>
        <family val="0"/>
        <charset val="1"/>
      </rPr>
      <t xml:space="preserve">BE3_31 </t>
    </r>
    <r>
      <rPr>
        <sz val="10"/>
        <rFont val="Noto Sans CJK SC"/>
        <family val="2"/>
      </rPr>
      <t xml:space="preserve">걷기 일수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중강도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</si>
  <si>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t xml:space="preserve">PhysActivity(0/1)</t>
  </si>
  <si>
    <r>
      <rPr>
        <sz val="10"/>
        <rFont val="Arial"/>
        <family val="0"/>
        <charset val="1"/>
      </rPr>
      <t xml:space="preserve">PAQ </t>
    </r>
    <r>
      <rPr>
        <sz val="10"/>
        <rFont val="Noto Sans CJK SC"/>
        <family val="2"/>
      </rPr>
      <t xml:space="preserve">계열</t>
    </r>
  </si>
  <si>
    <t xml:space="preserve">sleep_hours</t>
  </si>
  <si>
    <t xml:space="preserve">평균 수면시간</t>
  </si>
  <si>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(3~12)</t>
    </r>
  </si>
  <si>
    <r>
      <rPr>
        <sz val="10"/>
        <rFont val="Arial"/>
        <family val="0"/>
        <charset val="1"/>
      </rPr>
      <t xml:space="preserve">Total_slp_wk 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</si>
  <si>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t xml:space="preserve">SLD012</t>
  </si>
  <si>
    <t xml:space="preserve">fh_htn</t>
  </si>
  <si>
    <t xml:space="preserve">가족력 고혈압</t>
  </si>
  <si>
    <t xml:space="preserve">bool</t>
  </si>
  <si>
    <t xml:space="preserve">0/1</t>
  </si>
  <si>
    <t xml:space="preserve">가족력 다중선택</t>
  </si>
  <si>
    <t xml:space="preserve">HE_HPfh1~3 OR</t>
  </si>
  <si>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없음 가능</t>
    </r>
    <r>
      <rPr>
        <sz val="10"/>
        <rFont val="Arial"/>
        <family val="0"/>
        <charset val="1"/>
      </rPr>
      <t xml:space="preserve">)</t>
    </r>
  </si>
  <si>
    <t xml:space="preserve">fh_dm</t>
  </si>
  <si>
    <t xml:space="preserve">가족력 당뇨</t>
  </si>
  <si>
    <t xml:space="preserve">HE_DMfh1~3 OR</t>
  </si>
  <si>
    <t xml:space="preserve">MCQ300C</t>
  </si>
  <si>
    <t xml:space="preserve">fh_kidney</t>
  </si>
  <si>
    <t xml:space="preserve">가족력 신장질환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</si>
  <si>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</si>
  <si>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모델에서만</t>
    </r>
  </si>
  <si>
    <t xml:space="preserve">has_htn</t>
  </si>
  <si>
    <t xml:space="preserve">고혈압 진단 여부</t>
  </si>
  <si>
    <t xml:space="preserve">진단 질환 다중선택</t>
  </si>
  <si>
    <t xml:space="preserve">DI1_dg</t>
  </si>
  <si>
    <t xml:space="preserve">HighBP</t>
  </si>
  <si>
    <t xml:space="preserve">BPQ020</t>
  </si>
  <si>
    <r>
      <rPr>
        <sz val="10"/>
        <rFont val="Noto Sans CJK SC"/>
        <family val="2"/>
      </rPr>
      <t xml:space="preserve">타 질환 모델의 피처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고혈압 모델에서는 라벨이므로 제외</t>
    </r>
  </si>
  <si>
    <t xml:space="preserve">has_dm</t>
  </si>
  <si>
    <t xml:space="preserve">당뇨 진단 여부</t>
  </si>
  <si>
    <t xml:space="preserve">DE1_dg</t>
  </si>
  <si>
    <t xml:space="preserve">Diabetes_012=2</t>
  </si>
  <si>
    <t xml:space="preserve">DIQ010</t>
  </si>
  <si>
    <t xml:space="preserve">당뇨 모델에서는 라벨이므로 제외</t>
  </si>
  <si>
    <t xml:space="preserve">ls_activity</t>
  </si>
  <si>
    <r>
      <rPr>
        <sz val="10"/>
        <rFont val="Noto Sans CJK SC"/>
        <family val="2"/>
      </rPr>
      <t xml:space="preserve">생활습관 점수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활동</t>
    </r>
  </si>
  <si>
    <r>
      <rPr>
        <sz val="10"/>
        <rFont val="Arial"/>
        <family val="0"/>
        <charset val="1"/>
      </rPr>
      <t xml:space="preserve">0~1 (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</si>
  <si>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t xml:space="preserve">퀘스트 완료 기록 → 계산</t>
  </si>
  <si>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중강도 항목 정규화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대리값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</si>
  <si>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PhysActivity </t>
    </r>
    <r>
      <rPr>
        <sz val="10"/>
        <rFont val="Noto Sans CJK SC"/>
        <family val="2"/>
      </rPr>
      <t xml:space="preserve">대리</t>
    </r>
  </si>
  <si>
    <r>
      <rPr>
        <sz val="10"/>
        <rFont val="Arial"/>
        <family val="0"/>
        <charset val="1"/>
      </rPr>
      <t xml:space="preserve">PAQ </t>
    </r>
    <r>
      <rPr>
        <sz val="10"/>
        <rFont val="Noto Sans CJK SC"/>
        <family val="2"/>
      </rPr>
      <t xml:space="preserve">대리</t>
    </r>
  </si>
  <si>
    <r>
      <rPr>
        <sz val="10"/>
        <rFont val="Noto Sans CJK SC"/>
        <family val="2"/>
      </rPr>
      <t xml:space="preserve">신규 가입 시 </t>
    </r>
    <r>
      <rPr>
        <sz val="10"/>
        <rFont val="Arial"/>
        <family val="0"/>
        <charset val="1"/>
      </rPr>
      <t xml:space="preserve">exercise_freq/7</t>
    </r>
  </si>
  <si>
    <t xml:space="preserve">설문이 아니라 행동 기록</t>
  </si>
  <si>
    <t xml:space="preserve">ls_diet</t>
  </si>
  <si>
    <r>
      <rPr>
        <sz val="10"/>
        <rFont val="Noto Sans CJK SC"/>
        <family val="2"/>
      </rPr>
      <t xml:space="preserve">생활습관 점수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식생활</t>
    </r>
  </si>
  <si>
    <t xml:space="preserve">0~1</t>
  </si>
  <si>
    <t xml:space="preserve">퀘스트 완료 기록</t>
  </si>
  <si>
    <r>
      <rPr>
        <sz val="10"/>
        <rFont val="Noto Sans CJK SC"/>
        <family val="2"/>
      </rPr>
      <t xml:space="preserve">식이 항목 정규화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대리값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</si>
  <si>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Fruits·Veggies </t>
    </r>
    <r>
      <rPr>
        <sz val="10"/>
        <rFont val="Noto Sans CJK SC"/>
        <family val="2"/>
      </rPr>
      <t xml:space="preserve">대리</t>
    </r>
  </si>
  <si>
    <r>
      <rPr>
        <sz val="10"/>
        <rFont val="Arial"/>
        <family val="0"/>
        <charset val="1"/>
      </rPr>
      <t xml:space="preserve">DR1TOT </t>
    </r>
    <r>
      <rPr>
        <sz val="10"/>
        <rFont val="Noto Sans CJK SC"/>
        <family val="2"/>
      </rPr>
      <t xml:space="preserve">대리</t>
    </r>
  </si>
  <si>
    <r>
      <rPr>
        <sz val="10"/>
        <rFont val="Noto Sans CJK SC"/>
        <family val="2"/>
      </rPr>
      <t xml:space="preserve">가입 시 </t>
    </r>
    <r>
      <rPr>
        <sz val="10"/>
        <rFont val="Arial"/>
        <family val="0"/>
        <charset val="1"/>
      </rPr>
      <t xml:space="preserve">0.5</t>
    </r>
  </si>
  <si>
    <r>
      <rPr>
        <sz val="10"/>
        <rFont val="Noto Sans CJK SC"/>
        <family val="2"/>
      </rPr>
      <t xml:space="preserve">저염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당류 퀘스트가 여기 반영</t>
    </r>
  </si>
  <si>
    <t xml:space="preserve">ls_sleep</t>
  </si>
  <si>
    <r>
      <rPr>
        <sz val="10"/>
        <rFont val="Noto Sans CJK SC"/>
        <family val="2"/>
      </rPr>
      <t xml:space="preserve">생활습관 점수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수면</t>
    </r>
  </si>
  <si>
    <r>
      <rPr>
        <sz val="10"/>
        <rFont val="Noto Sans CJK SC"/>
        <family val="2"/>
      </rPr>
      <t xml:space="preserve">수면시간 </t>
    </r>
    <r>
      <rPr>
        <sz val="10"/>
        <rFont val="Arial"/>
        <family val="0"/>
        <charset val="1"/>
      </rPr>
      <t xml:space="preserve">7~8h=1</t>
    </r>
  </si>
  <si>
    <r>
      <rPr>
        <sz val="10"/>
        <rFont val="Arial"/>
        <family val="0"/>
        <charset val="1"/>
      </rPr>
      <t xml:space="preserve">SLQ </t>
    </r>
    <r>
      <rPr>
        <sz val="10"/>
        <rFont val="Noto Sans CJK SC"/>
        <family val="2"/>
      </rPr>
      <t xml:space="preserve">대리</t>
    </r>
  </si>
  <si>
    <r>
      <rPr>
        <sz val="10"/>
        <rFont val="Noto Sans CJK SC"/>
        <family val="2"/>
      </rPr>
      <t xml:space="preserve">가입 시 </t>
    </r>
    <r>
      <rPr>
        <sz val="10"/>
        <rFont val="Arial"/>
        <family val="0"/>
        <charset val="1"/>
      </rPr>
      <t xml:space="preserve">sleep_hours </t>
    </r>
    <r>
      <rPr>
        <sz val="10"/>
        <rFont val="Noto Sans CJK SC"/>
        <family val="2"/>
      </rPr>
      <t xml:space="preserve">기준</t>
    </r>
  </si>
  <si>
    <t xml:space="preserve">ls_record</t>
  </si>
  <si>
    <r>
      <rPr>
        <sz val="10"/>
        <rFont val="Noto Sans CJK SC"/>
        <family val="2"/>
      </rPr>
      <t xml:space="preserve">생활습관 점수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기록</t>
    </r>
  </si>
  <si>
    <t xml:space="preserve">기록형 퀘스트 완료</t>
  </si>
  <si>
    <r>
      <rPr>
        <sz val="10"/>
        <rFont val="Arial"/>
        <family val="0"/>
        <charset val="1"/>
      </rPr>
      <t xml:space="preserve">— (</t>
    </r>
    <r>
      <rPr>
        <sz val="10"/>
        <rFont val="Noto Sans CJK SC"/>
        <family val="2"/>
      </rPr>
      <t xml:space="preserve">학습 시 상수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</si>
  <si>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가입 시 </t>
    </r>
    <r>
      <rPr>
        <sz val="1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</si>
  <si>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학습 데이터에 없음 → 모델 피처에서 제외하고 대시보드 점수로만 사용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팀 결정 필요</t>
    </r>
    <r>
      <rPr>
        <sz val="10"/>
        <rFont val="Arial"/>
        <family val="0"/>
        <charset val="1"/>
      </rPr>
      <t xml:space="preserve">]</t>
    </r>
  </si>
  <si>
    <t xml:space="preserve">질환</t>
  </si>
  <si>
    <t xml:space="preserve">등급</t>
  </si>
  <si>
    <t xml:space="preserve">구분</t>
  </si>
  <si>
    <r>
      <rPr>
        <b val="true"/>
        <sz val="10"/>
        <color rgb="FFFFFFFF"/>
        <rFont val="Noto Sans CJK SC"/>
        <family val="2"/>
      </rPr>
      <t xml:space="preserve">항목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코드명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</si>
  <si>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설명</t>
  </si>
  <si>
    <t xml:space="preserve">중요도</t>
  </si>
  <si>
    <r>
      <rPr>
        <b val="true"/>
        <sz val="10"/>
        <color rgb="FFFFFFFF"/>
        <rFont val="Noto Sans CJK SC"/>
        <family val="2"/>
      </rPr>
      <t xml:space="preserve">온보딩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입력 출처</t>
    </r>
  </si>
  <si>
    <t xml:space="preserve">관련 퀘스트 축</t>
  </si>
  <si>
    <t xml:space="preserve">고혈압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</si>
  <si>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모델</t>
    </r>
  </si>
  <si>
    <t xml:space="preserve">모델 피처</t>
  </si>
  <si>
    <t xml:space="preserve">age, sex, bmi, waist_cm</t>
  </si>
  <si>
    <t xml:space="preserve">공통 기반</t>
  </si>
  <si>
    <t xml:space="preserve">●</t>
  </si>
  <si>
    <r>
      <rPr>
        <sz val="10"/>
        <rFont val="Noto Sans CJK SC"/>
        <family val="2"/>
      </rPr>
      <t xml:space="preserve">온보딩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퀘스트</t>
    </r>
  </si>
  <si>
    <t xml:space="preserve">현재 흡연</t>
  </si>
  <si>
    <t xml:space="preserve">음주 빈도 — 혈압 상승 인자</t>
  </si>
  <si>
    <r>
      <rPr>
        <sz val="10"/>
        <rFont val="Noto Sans CJK SC"/>
        <family val="2"/>
      </rPr>
      <t xml:space="preserve">수면 부족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과다</t>
    </r>
  </si>
  <si>
    <t xml:space="preserve">○</t>
  </si>
  <si>
    <t xml:space="preserve">ls_activity, ls_sleep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</si>
  <si>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생활습관 점수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</si>
  <si>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식생활 점수 — 저염 퀘스트 가중</t>
    </r>
  </si>
  <si>
    <r>
      <rPr>
        <sz val="10"/>
        <rFont val="Noto Sans CJK SC"/>
        <family val="2"/>
      </rPr>
      <t xml:space="preserve">라벨 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피처 제외</t>
    </r>
    <r>
      <rPr>
        <sz val="10"/>
        <rFont val="Arial"/>
        <family val="0"/>
        <charset val="1"/>
      </rPr>
      <t xml:space="preserve">)</t>
    </r>
  </si>
  <si>
    <t xml:space="preserve">systolic_bp, diastolic_bp</t>
  </si>
  <si>
    <r>
      <rPr>
        <sz val="10"/>
        <rFont val="Noto Sans CJK SC"/>
        <family val="2"/>
      </rPr>
      <t xml:space="preserve">수축기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이완기 혈압 측정값</t>
    </r>
  </si>
  <si>
    <t xml:space="preserve">제외</t>
  </si>
  <si>
    <r>
      <rPr>
        <sz val="10"/>
        <rFont val="Noto Sans CJK SC"/>
        <family val="2"/>
      </rPr>
      <t xml:space="preserve">혈압계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기록형 퀘스트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</si>
  <si>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 또는 ≥</t>
    </r>
    <r>
      <rPr>
        <sz val="10"/>
        <rFont val="Arial"/>
        <family val="0"/>
        <charset val="1"/>
      </rPr>
      <t xml:space="preserve">140/90</t>
    </r>
  </si>
  <si>
    <t xml:space="preserve">has_htn, htn_medication</t>
  </si>
  <si>
    <r>
      <rPr>
        <sz val="10"/>
        <rFont val="Noto Sans CJK SC"/>
        <family val="2"/>
      </rPr>
      <t xml:space="preserve">고혈압 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혈압약</t>
    </r>
  </si>
  <si>
    <r>
      <rPr>
        <sz val="10"/>
        <rFont val="Noto Sans CJK SC"/>
        <family val="2"/>
      </rPr>
      <t xml:space="preserve">진단 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복용약</t>
    </r>
  </si>
  <si>
    <t xml:space="preserve">대시보드 밴드</t>
  </si>
  <si>
    <t xml:space="preserve">blood_pressure</t>
  </si>
  <si>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&lt;120/80 · </t>
    </r>
    <r>
      <rPr>
        <sz val="10"/>
        <rFont val="Noto Sans CJK SC"/>
        <family val="2"/>
      </rPr>
      <t xml:space="preserve">주의 </t>
    </r>
    <r>
      <rPr>
        <sz val="10"/>
        <rFont val="Arial"/>
        <family val="0"/>
        <charset val="1"/>
      </rPr>
      <t xml:space="preserve">120~139/80~89 · </t>
    </r>
    <r>
      <rPr>
        <sz val="10"/>
        <rFont val="Noto Sans CJK SC"/>
        <family val="2"/>
      </rPr>
      <t xml:space="preserve">위험 ≥</t>
    </r>
    <r>
      <rPr>
        <sz val="10"/>
        <rFont val="Arial"/>
        <family val="0"/>
        <charset val="1"/>
      </rPr>
      <t xml:space="preserve">140/90</t>
    </r>
  </si>
  <si>
    <t xml:space="preserve">밴드</t>
  </si>
  <si>
    <t xml:space="preserve">혈압계</t>
  </si>
  <si>
    <t xml:space="preserve">아침 혈압 기록</t>
  </si>
  <si>
    <t xml:space="preserve">퀘스트 축</t>
  </si>
  <si>
    <r>
      <rPr>
        <sz val="10"/>
        <rFont val="Noto Sans CJK SC"/>
        <family val="2"/>
      </rPr>
      <t xml:space="preserve">저염식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유산소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절주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수면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혈압 기록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</t>
    </r>
  </si>
  <si>
    <r>
      <rPr>
        <sz val="10"/>
        <rFont val="Noto Sans CJK SC"/>
        <family val="2"/>
      </rPr>
      <t xml:space="preserve">완료 시 </t>
    </r>
    <r>
      <rPr>
        <sz val="10"/>
        <rFont val="Arial"/>
        <family val="0"/>
        <charset val="1"/>
      </rPr>
      <t xml:space="preserve">ls_diet/ls_activity/ls_sleep/ls_record </t>
    </r>
    <r>
      <rPr>
        <sz val="10"/>
        <rFont val="Noto Sans CJK SC"/>
        <family val="2"/>
      </rPr>
      <t xml:space="preserve">갱신</t>
    </r>
  </si>
  <si>
    <t xml:space="preserve">퀘스트 풀</t>
  </si>
  <si>
    <t xml:space="preserve">당뇨</t>
  </si>
  <si>
    <t xml:space="preserve">age, sex, bmi</t>
  </si>
  <si>
    <r>
      <rPr>
        <sz val="10"/>
        <rFont val="Noto Sans CJK SC"/>
        <family val="2"/>
      </rPr>
      <t xml:space="preserve">복부비만 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형 당뇨 핵심 인자</t>
    </r>
  </si>
  <si>
    <t xml:space="preserve">음주</t>
  </si>
  <si>
    <t xml:space="preserve">수면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</si>
  <si>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활동 점수 — 식후 걷기 가중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</si>
  <si>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식생활 점수 — 당류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정제탄수 가중</t>
    </r>
  </si>
  <si>
    <t xml:space="preserve">fasting_glucose, hba1c</t>
  </si>
  <si>
    <r>
      <rPr>
        <sz val="10"/>
        <rFont val="Noto Sans CJK SC"/>
        <family val="2"/>
      </rPr>
      <t xml:space="preserve">공복혈당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당화혈색소</t>
    </r>
  </si>
  <si>
    <r>
      <rPr>
        <sz val="10"/>
        <rFont val="Noto Sans CJK SC"/>
        <family val="2"/>
      </rPr>
      <t xml:space="preserve">혈당계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검진 입력</t>
    </r>
  </si>
  <si>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 또는 </t>
    </r>
    <r>
      <rPr>
        <sz val="10"/>
        <rFont val="Arial"/>
        <family val="0"/>
        <charset val="1"/>
      </rPr>
      <t xml:space="preserve">FPG≥126 / HbA1c≥6.5</t>
    </r>
  </si>
  <si>
    <t xml:space="preserve">has_dm, dm_medication</t>
  </si>
  <si>
    <r>
      <rPr>
        <sz val="10"/>
        <rFont val="Noto Sans CJK SC"/>
        <family val="2"/>
      </rPr>
      <t xml:space="preserve">당뇨 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당뇨약</t>
    </r>
  </si>
  <si>
    <t xml:space="preserve">fasting_glucose</t>
  </si>
  <si>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&lt;100 · </t>
    </r>
    <r>
      <rPr>
        <sz val="10"/>
        <rFont val="Noto Sans CJK SC"/>
        <family val="2"/>
      </rPr>
      <t xml:space="preserve">주의 </t>
    </r>
    <r>
      <rPr>
        <sz val="10"/>
        <rFont val="Arial"/>
        <family val="0"/>
        <charset val="1"/>
      </rPr>
      <t xml:space="preserve">100~125 · </t>
    </r>
    <r>
      <rPr>
        <sz val="10"/>
        <rFont val="Noto Sans CJK SC"/>
        <family val="2"/>
      </rPr>
      <t xml:space="preserve">위험 ≥</t>
    </r>
    <r>
      <rPr>
        <sz val="10"/>
        <rFont val="Arial"/>
        <family val="0"/>
        <charset val="1"/>
      </rPr>
      <t xml:space="preserve">126</t>
    </r>
  </si>
  <si>
    <t xml:space="preserve">혈당계</t>
  </si>
  <si>
    <t xml:space="preserve">공복 혈당 기록</t>
  </si>
  <si>
    <t xml:space="preserve">postprandial_glucose</t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</si>
  <si>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2h: &lt;140 · 140~199 · ≥200</t>
    </r>
  </si>
  <si>
    <t xml:space="preserve">식후 혈당 기록</t>
  </si>
  <si>
    <t xml:space="preserve">hba1c</t>
  </si>
  <si>
    <r>
      <rPr>
        <sz val="10"/>
        <rFont val="Arial"/>
        <family val="0"/>
        <charset val="1"/>
      </rPr>
      <t xml:space="preserve">&lt;5.7 · 5.7~6.4 · ≥6.5 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</t>
    </r>
  </si>
  <si>
    <t xml:space="preserve">검진 결과</t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</si>
  <si>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 걷기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당류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정제탄수 줄이기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혈당 기록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수면</t>
    </r>
  </si>
  <si>
    <t xml:space="preserve">비만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</si>
  <si>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밴드만</t>
    </r>
  </si>
  <si>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&lt;23 · </t>
    </r>
    <r>
      <rPr>
        <sz val="10"/>
        <rFont val="Noto Sans CJK SC"/>
        <family val="2"/>
      </rPr>
      <t xml:space="preserve">과체중 </t>
    </r>
    <r>
      <rPr>
        <sz val="10"/>
        <rFont val="Arial"/>
        <family val="0"/>
        <charset val="1"/>
      </rPr>
      <t xml:space="preserve">23~24.9 · </t>
    </r>
    <r>
      <rPr>
        <sz val="10"/>
        <rFont val="Noto Sans CJK SC"/>
        <family val="2"/>
      </rPr>
      <t xml:space="preserve">비만 ≥</t>
    </r>
    <r>
      <rPr>
        <sz val="10"/>
        <rFont val="Arial"/>
        <family val="0"/>
        <charset val="1"/>
      </rPr>
      <t xml:space="preserve">25 (</t>
    </r>
    <r>
      <rPr>
        <sz val="10"/>
        <rFont val="Noto Sans CJK SC"/>
        <family val="2"/>
      </rPr>
      <t xml:space="preserve">한국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</si>
  <si>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몸무게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체중계</t>
    </r>
  </si>
  <si>
    <t xml:space="preserve">아침 체중 기록</t>
  </si>
  <si>
    <t xml:space="preserve">별도 모델 없음</t>
  </si>
  <si>
    <r>
      <rPr>
        <sz val="10"/>
        <rFont val="Noto Sans CJK SC"/>
        <family val="2"/>
      </rPr>
      <t xml:space="preserve">복부비만 남 ≥</t>
    </r>
    <r>
      <rPr>
        <sz val="10"/>
        <rFont val="Arial"/>
        <family val="0"/>
        <charset val="1"/>
      </rPr>
      <t xml:space="preserve">90 / </t>
    </r>
    <r>
      <rPr>
        <sz val="10"/>
        <rFont val="Noto Sans CJK SC"/>
        <family val="2"/>
      </rPr>
      <t xml:space="preserve">여 ≥</t>
    </r>
    <r>
      <rPr>
        <sz val="10"/>
        <rFont val="Arial"/>
        <family val="0"/>
        <charset val="1"/>
      </rPr>
      <t xml:space="preserve">85</t>
    </r>
  </si>
  <si>
    <t xml:space="preserve">줄자</t>
  </si>
  <si>
    <r>
      <rPr>
        <sz val="10"/>
        <rFont val="Noto Sans CJK SC"/>
        <family val="2"/>
      </rPr>
      <t xml:space="preserve">허리둘레 기록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</si>
  <si>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body_fat, weight </t>
    </r>
    <r>
      <rPr>
        <sz val="10"/>
        <rFont val="Noto Sans CJK SC"/>
        <family val="2"/>
      </rPr>
      <t xml:space="preserve">추이</t>
    </r>
  </si>
  <si>
    <r>
      <rPr>
        <sz val="10"/>
        <rFont val="Noto Sans CJK SC"/>
        <family val="2"/>
      </rPr>
      <t xml:space="preserve">체지방률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 추이</t>
    </r>
  </si>
  <si>
    <t xml:space="preserve">체중계</t>
  </si>
  <si>
    <r>
      <rPr>
        <sz val="10"/>
        <rFont val="Noto Sans CJK SC"/>
        <family val="2"/>
      </rPr>
      <t xml:space="preserve">활동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식생활 축 공유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 기록</t>
    </r>
  </si>
  <si>
    <r>
      <rPr>
        <sz val="10"/>
        <rFont val="Arial"/>
        <family val="0"/>
        <charset val="1"/>
      </rPr>
      <t xml:space="preserve">bmi·waist_cm</t>
    </r>
    <r>
      <rPr>
        <sz val="10"/>
        <rFont val="Noto Sans CJK SC"/>
        <family val="2"/>
      </rPr>
      <t xml:space="preserve">가 다른 모델 피처라 비만 개선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타 위험도 감소</t>
    </r>
  </si>
  <si>
    <t xml:space="preserve">대사증후군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</si>
  <si>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확장 규칙</t>
    </r>
  </si>
  <si>
    <t xml:space="preserve">판정 입력</t>
  </si>
  <si>
    <r>
      <rPr>
        <sz val="10"/>
        <rFont val="Arial"/>
        <family val="0"/>
        <charset val="1"/>
      </rPr>
      <t xml:space="preserve">≥90(</t>
    </r>
    <r>
      <rPr>
        <sz val="10"/>
        <rFont val="Noto Sans CJK SC"/>
        <family val="2"/>
      </rPr>
      <t xml:space="preserve">남</t>
    </r>
    <r>
      <rPr>
        <sz val="10"/>
        <rFont val="Arial"/>
        <family val="0"/>
        <charset val="1"/>
      </rPr>
      <t xml:space="preserve">)/85(</t>
    </r>
    <r>
      <rPr>
        <sz val="10"/>
        <rFont val="Noto Sans CJK SC"/>
        <family val="2"/>
      </rPr>
      <t xml:space="preserve">여</t>
    </r>
    <r>
      <rPr>
        <sz val="10"/>
        <rFont val="Arial"/>
        <family val="0"/>
        <charset val="1"/>
      </rPr>
      <t xml:space="preserve">)</t>
    </r>
  </si>
  <si>
    <t xml:space="preserve">판정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</si>
  <si>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기준 중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해당</t>
    </r>
  </si>
  <si>
    <r>
      <rPr>
        <sz val="10"/>
        <rFont val="Arial"/>
        <family val="0"/>
        <charset val="1"/>
      </rPr>
      <t xml:space="preserve">≥130/85 </t>
    </r>
    <r>
      <rPr>
        <sz val="10"/>
        <rFont val="Noto Sans CJK SC"/>
        <family val="2"/>
      </rPr>
      <t xml:space="preserve">또는 혈압약</t>
    </r>
  </si>
  <si>
    <r>
      <rPr>
        <sz val="10"/>
        <rFont val="Arial"/>
        <family val="0"/>
        <charset val="1"/>
      </rPr>
      <t xml:space="preserve">≥100 </t>
    </r>
    <r>
      <rPr>
        <sz val="10"/>
        <rFont val="Noto Sans CJK SC"/>
        <family val="2"/>
      </rPr>
      <t xml:space="preserve">또는 당뇨약</t>
    </r>
  </si>
  <si>
    <t xml:space="preserve">triglycerides</t>
  </si>
  <si>
    <r>
      <rPr>
        <sz val="10"/>
        <rFont val="Arial"/>
        <family val="0"/>
        <charset val="1"/>
      </rPr>
      <t xml:space="preserve">≥150 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</si>
  <si>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'3</t>
    </r>
    <r>
      <rPr>
        <sz val="10"/>
        <rFont val="Noto Sans CJK SC"/>
        <family val="2"/>
      </rPr>
      <t xml:space="preserve">개 기준만 확인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표시</t>
    </r>
  </si>
  <si>
    <t xml:space="preserve">hdl</t>
  </si>
  <si>
    <r>
      <rPr>
        <sz val="10"/>
        <rFont val="Arial"/>
        <family val="0"/>
        <charset val="1"/>
      </rPr>
      <t xml:space="preserve">&lt;40(</t>
    </r>
    <r>
      <rPr>
        <sz val="10"/>
        <rFont val="Noto Sans CJK SC"/>
        <family val="2"/>
      </rPr>
      <t xml:space="preserve">남</t>
    </r>
    <r>
      <rPr>
        <sz val="10"/>
        <rFont val="Arial"/>
        <family val="0"/>
        <charset val="1"/>
      </rPr>
      <t xml:space="preserve">)/50(</t>
    </r>
    <r>
      <rPr>
        <sz val="10"/>
        <rFont val="Noto Sans CJK SC"/>
        <family val="2"/>
      </rPr>
      <t xml:space="preserve">여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</si>
  <si>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만들 경우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공통 세트</t>
    </r>
  </si>
  <si>
    <r>
      <rPr>
        <sz val="10"/>
        <rFont val="Noto Sans CJK SC"/>
        <family val="2"/>
      </rPr>
      <t xml:space="preserve">라벨 </t>
    </r>
    <r>
      <rPr>
        <sz val="10"/>
        <rFont val="Arial"/>
        <family val="0"/>
        <charset val="1"/>
      </rPr>
      <t xml:space="preserve">= 3</t>
    </r>
    <r>
      <rPr>
        <sz val="10"/>
        <rFont val="Noto Sans CJK SC"/>
        <family val="2"/>
      </rPr>
      <t xml:space="preserve">개 이상</t>
    </r>
  </si>
  <si>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여유 시</t>
    </r>
  </si>
  <si>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비만 축 합집합</t>
    </r>
  </si>
  <si>
    <t xml:space="preserve">만성콩팥병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</si>
  <si>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보조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판단</t>
    </r>
    <r>
      <rPr>
        <sz val="10"/>
        <rFont val="Arial"/>
        <family val="0"/>
        <charset val="1"/>
      </rPr>
      <t xml:space="preserve">)</t>
    </r>
  </si>
  <si>
    <t xml:space="preserve">나이 — 가장 큰 인자</t>
  </si>
  <si>
    <t xml:space="preserve">온보딩</t>
  </si>
  <si>
    <t xml:space="preserve">sex, bmi, waist_cm</t>
  </si>
  <si>
    <t xml:space="preserve">공통</t>
  </si>
  <si>
    <t xml:space="preserve">alcohol_freq, exercise_freq</t>
  </si>
  <si>
    <t xml:space="preserve">analgesic_use</t>
  </si>
  <si>
    <r>
      <rPr>
        <sz val="10"/>
        <rFont val="Noto Sans CJK SC"/>
        <family val="2"/>
      </rPr>
      <t xml:space="preserve">진통제 상용 여부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설문 추가 검토</t>
    </r>
    <r>
      <rPr>
        <sz val="10"/>
        <rFont val="Arial"/>
        <family val="0"/>
        <charset val="1"/>
      </rPr>
      <t xml:space="preserve">]</t>
    </r>
  </si>
  <si>
    <t xml:space="preserve">acr, egfr(creatinine), urine_protein</t>
  </si>
  <si>
    <r>
      <rPr>
        <sz val="10"/>
        <rFont val="Arial"/>
        <family val="0"/>
        <charset val="1"/>
      </rPr>
      <t xml:space="preserve">ACR≥30 / eGFR&lt;60 / </t>
    </r>
    <r>
      <rPr>
        <sz val="10"/>
        <rFont val="Noto Sans CJK SC"/>
        <family val="2"/>
      </rPr>
      <t xml:space="preserve">스틱 </t>
    </r>
    <r>
      <rPr>
        <sz val="10"/>
        <rFont val="Arial"/>
        <family val="0"/>
        <charset val="1"/>
      </rPr>
      <t xml:space="preserve">1+↑</t>
    </r>
  </si>
  <si>
    <r>
      <rPr>
        <sz val="10"/>
        <rFont val="Noto Sans CJK SC"/>
        <family val="2"/>
      </rPr>
      <t xml:space="preserve">검진 입력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소변 스틱</t>
    </r>
  </si>
  <si>
    <t xml:space="preserve">urine_protein</t>
  </si>
  <si>
    <r>
      <rPr>
        <sz val="10"/>
        <rFont val="Noto Sans CJK SC"/>
        <family val="2"/>
      </rPr>
      <t xml:space="preserve">음성 </t>
    </r>
    <r>
      <rPr>
        <sz val="10"/>
        <rFont val="Arial"/>
        <family val="0"/>
        <charset val="1"/>
      </rPr>
      <t xml:space="preserve">· ± · 1+ · 2+ · 3+ (</t>
    </r>
    <r>
      <rPr>
        <sz val="10"/>
        <rFont val="Noto Sans CJK SC"/>
        <family val="2"/>
      </rPr>
      <t xml:space="preserve">월 추이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</si>
  <si>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소변 스틱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</si>
  <si>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t xml:space="preserve">첫 아침 소변 스틱</t>
  </si>
  <si>
    <r>
      <rPr>
        <sz val="10"/>
        <rFont val="Arial"/>
        <family val="0"/>
        <charset val="1"/>
      </rPr>
      <t xml:space="preserve">1+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연속 → 검진 권고</t>
    </r>
  </si>
  <si>
    <t xml:space="preserve">egfr</t>
  </si>
  <si>
    <r>
      <rPr>
        <sz val="10"/>
        <rFont val="Arial"/>
        <family val="0"/>
        <charset val="1"/>
      </rPr>
      <t xml:space="preserve">≥90 </t>
    </r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· 60~89 </t>
    </r>
    <r>
      <rPr>
        <sz val="10"/>
        <rFont val="Noto Sans CJK SC"/>
        <family val="2"/>
      </rPr>
      <t xml:space="preserve">경계 </t>
    </r>
    <r>
      <rPr>
        <sz val="10"/>
        <rFont val="Arial"/>
        <family val="0"/>
        <charset val="1"/>
      </rPr>
      <t xml:space="preserve">· &lt;60 </t>
    </r>
    <r>
      <rPr>
        <sz val="10"/>
        <rFont val="Noto Sans CJK SC"/>
        <family val="2"/>
      </rPr>
      <t xml:space="preserve">위험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</si>
  <si>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 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저염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수분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소변 스틱 기록</t>
    </r>
  </si>
  <si>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예방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 관리</t>
    </r>
  </si>
  <si>
    <t xml:space="preserve">지방간질환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</si>
  <si>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보조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비만 트랙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</si>
  <si>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모델 피처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시</t>
    </r>
    <r>
      <rPr>
        <sz val="10"/>
        <rFont val="Arial"/>
        <family val="0"/>
        <charset val="1"/>
      </rPr>
      <t xml:space="preserve">)</t>
    </r>
  </si>
  <si>
    <t xml:space="preserve">알코올성 구분 — 비중 큼</t>
  </si>
  <si>
    <t xml:space="preserve">bmi, waist_cm</t>
  </si>
  <si>
    <t xml:space="preserve">복부비만</t>
  </si>
  <si>
    <t xml:space="preserve">smoking, sleep_hours</t>
  </si>
  <si>
    <t xml:space="preserve">ast, alt, ggt, triglycerides</t>
  </si>
  <si>
    <r>
      <rPr>
        <sz val="10"/>
        <rFont val="Arial"/>
        <family val="0"/>
        <charset val="1"/>
      </rPr>
      <t xml:space="preserve">HSI/FLI </t>
    </r>
    <r>
      <rPr>
        <sz val="10"/>
        <rFont val="Noto Sans CJK SC"/>
        <family val="2"/>
      </rPr>
      <t xml:space="preserve">대리 라벨 계산 입력</t>
    </r>
  </si>
  <si>
    <t xml:space="preserve">검진 입력</t>
  </si>
  <si>
    <r>
      <rPr>
        <sz val="10"/>
        <rFont val="Noto Sans CJK SC"/>
        <family val="2"/>
      </rPr>
      <t xml:space="preserve">초음파 라벨 없음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지수 기반 추정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명시</t>
    </r>
  </si>
  <si>
    <t xml:space="preserve">hsi</t>
  </si>
  <si>
    <r>
      <rPr>
        <sz val="10"/>
        <rFont val="Arial"/>
        <family val="0"/>
        <charset val="1"/>
      </rPr>
      <t xml:space="preserve">≤30 </t>
    </r>
    <r>
      <rPr>
        <sz val="10"/>
        <rFont val="Noto Sans CJK SC"/>
        <family val="2"/>
      </rPr>
      <t xml:space="preserve">낮음 </t>
    </r>
    <r>
      <rPr>
        <sz val="10"/>
        <rFont val="Arial"/>
        <family val="0"/>
        <charset val="1"/>
      </rPr>
      <t xml:space="preserve">· 30~36 </t>
    </r>
    <r>
      <rPr>
        <sz val="10"/>
        <rFont val="Noto Sans CJK SC"/>
        <family val="2"/>
      </rPr>
      <t xml:space="preserve">중간 </t>
    </r>
    <r>
      <rPr>
        <sz val="10"/>
        <rFont val="Arial"/>
        <family val="0"/>
        <charset val="1"/>
      </rPr>
      <t xml:space="preserve">· &gt;36 </t>
    </r>
    <r>
      <rPr>
        <sz val="10"/>
        <rFont val="Noto Sans CJK SC"/>
        <family val="2"/>
      </rPr>
      <t xml:space="preserve">높음</t>
    </r>
  </si>
  <si>
    <r>
      <rPr>
        <sz val="10"/>
        <rFont val="Arial"/>
        <family val="0"/>
        <charset val="1"/>
      </rPr>
      <t xml:space="preserve">HSI = 8×ALT/AST + BMI (+2 </t>
    </r>
    <r>
      <rPr>
        <sz val="10"/>
        <rFont val="Noto Sans CJK SC"/>
        <family val="2"/>
      </rPr>
      <t xml:space="preserve">여성</t>
    </r>
    <r>
      <rPr>
        <sz val="10"/>
        <rFont val="Arial"/>
        <family val="0"/>
        <charset val="1"/>
      </rPr>
      <t xml:space="preserve">, +2 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)</t>
    </r>
  </si>
  <si>
    <t xml:space="preserve">fli</t>
  </si>
  <si>
    <t xml:space="preserve">&lt;30 · 30~59 · ≥60</t>
  </si>
  <si>
    <r>
      <rPr>
        <sz val="10"/>
        <rFont val="Noto Sans CJK SC"/>
        <family val="2"/>
      </rPr>
      <t xml:space="preserve">검진 결과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허리둘레</t>
    </r>
  </si>
  <si>
    <r>
      <rPr>
        <sz val="10"/>
        <rFont val="Noto Sans CJK SC"/>
        <family val="2"/>
      </rPr>
      <t xml:space="preserve">절주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 감량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당류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정제탄수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활동</t>
    </r>
  </si>
  <si>
    <t xml:space="preserve">이상지질혈증</t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</si>
  <si>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검진 입력형</t>
    </r>
  </si>
  <si>
    <t xml:space="preserve">waist_cm, bmi</t>
  </si>
  <si>
    <t xml:space="preserve">중성지방 상승</t>
  </si>
  <si>
    <r>
      <rPr>
        <sz val="10"/>
        <rFont val="Arial"/>
        <family val="0"/>
        <charset val="1"/>
      </rPr>
      <t xml:space="preserve">HDL </t>
    </r>
    <r>
      <rPr>
        <sz val="10"/>
        <rFont val="Noto Sans CJK SC"/>
        <family val="2"/>
      </rPr>
      <t xml:space="preserve">상승</t>
    </r>
  </si>
  <si>
    <r>
      <rPr>
        <sz val="10"/>
        <rFont val="Arial"/>
        <family val="0"/>
        <charset val="1"/>
      </rPr>
      <t xml:space="preserve">HDL </t>
    </r>
    <r>
      <rPr>
        <sz val="10"/>
        <rFont val="Noto Sans CJK SC"/>
        <family val="2"/>
      </rPr>
      <t xml:space="preserve">저하</t>
    </r>
  </si>
  <si>
    <t xml:space="preserve">lipid_medication</t>
  </si>
  <si>
    <t xml:space="preserve">지질약 복용</t>
  </si>
  <si>
    <t xml:space="preserve">ldl, total_chol, triglycerides, hdl</t>
  </si>
  <si>
    <r>
      <rPr>
        <sz val="10"/>
        <rFont val="Noto Sans CJK SC"/>
        <family val="2"/>
      </rPr>
      <t xml:space="preserve">지질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항목</t>
    </r>
  </si>
  <si>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(3~6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</si>
  <si>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 또는 </t>
    </r>
    <r>
      <rPr>
        <sz val="10"/>
        <rFont val="Arial"/>
        <family val="0"/>
        <charset val="1"/>
      </rPr>
      <t xml:space="preserve">LDL≥160/</t>
    </r>
    <r>
      <rPr>
        <sz val="10"/>
        <rFont val="Noto Sans CJK SC"/>
        <family val="2"/>
      </rPr>
      <t xml:space="preserve">총콜≥</t>
    </r>
    <r>
      <rPr>
        <sz val="10"/>
        <rFont val="Arial"/>
        <family val="0"/>
        <charset val="1"/>
      </rPr>
      <t xml:space="preserve">240/TG≥200/HDL&lt;40</t>
    </r>
  </si>
  <si>
    <t xml:space="preserve">ldl</t>
  </si>
  <si>
    <r>
      <rPr>
        <sz val="10"/>
        <rFont val="Arial"/>
        <family val="0"/>
        <charset val="1"/>
      </rPr>
      <t xml:space="preserve">&lt;100 </t>
    </r>
    <r>
      <rPr>
        <sz val="10"/>
        <rFont val="Noto Sans CJK SC"/>
        <family val="2"/>
      </rPr>
      <t xml:space="preserve">적정 </t>
    </r>
    <r>
      <rPr>
        <sz val="10"/>
        <rFont val="Arial"/>
        <family val="0"/>
        <charset val="1"/>
      </rPr>
      <t xml:space="preserve">· 100~129 </t>
    </r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· 130~159 </t>
    </r>
    <r>
      <rPr>
        <sz val="10"/>
        <rFont val="Noto Sans CJK SC"/>
        <family val="2"/>
      </rPr>
      <t xml:space="preserve">경계 </t>
    </r>
    <r>
      <rPr>
        <sz val="10"/>
        <rFont val="Arial"/>
        <family val="0"/>
        <charset val="1"/>
      </rPr>
      <t xml:space="preserve">· ≥160 </t>
    </r>
    <r>
      <rPr>
        <sz val="10"/>
        <rFont val="Noto Sans CJK SC"/>
        <family val="2"/>
      </rPr>
      <t xml:space="preserve">높음</t>
    </r>
  </si>
  <si>
    <t xml:space="preserve">total_chol</t>
  </si>
  <si>
    <t xml:space="preserve">&lt;200 · 200~239 · ≥240</t>
  </si>
  <si>
    <t xml:space="preserve">&lt;150 · 150~199 · ≥200</t>
  </si>
  <si>
    <r>
      <rPr>
        <sz val="10"/>
        <rFont val="Arial"/>
        <family val="0"/>
        <charset val="1"/>
      </rPr>
      <t xml:space="preserve">≥60 </t>
    </r>
    <r>
      <rPr>
        <sz val="10"/>
        <rFont val="Noto Sans CJK SC"/>
        <family val="2"/>
      </rPr>
      <t xml:space="preserve">좋음 </t>
    </r>
    <r>
      <rPr>
        <sz val="10"/>
        <rFont val="Arial"/>
        <family val="0"/>
        <charset val="1"/>
      </rPr>
      <t xml:space="preserve">· 40~59 · &lt;40 </t>
    </r>
    <r>
      <rPr>
        <sz val="10"/>
        <rFont val="Noto Sans CJK SC"/>
        <family val="2"/>
      </rPr>
      <t xml:space="preserve">낮음</t>
    </r>
  </si>
  <si>
    <r>
      <rPr>
        <sz val="10"/>
        <rFont val="Noto Sans CJK SC"/>
        <family val="2"/>
      </rPr>
      <t xml:space="preserve">포화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트랜스지방 줄이기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유산소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절주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</t>
    </r>
  </si>
  <si>
    <r>
      <rPr>
        <sz val="10"/>
        <rFont val="Noto Sans CJK SC"/>
        <family val="2"/>
      </rPr>
      <t xml:space="preserve">매일 개선 판단 불가 → 추이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다음 검진 리마인드</t>
    </r>
  </si>
  <si>
    <r>
      <rPr>
        <b val="true"/>
        <sz val="10"/>
        <color rgb="FFFFFFFF"/>
        <rFont val="Noto Sans CJK SC"/>
        <family val="2"/>
      </rPr>
      <t xml:space="preserve">피처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질환</t>
    </r>
  </si>
  <si>
    <t xml:space="preserve">지방간</t>
  </si>
  <si>
    <t xml:space="preserve">지표</t>
  </si>
  <si>
    <t xml:space="preserve">라벨</t>
  </si>
  <si>
    <t xml:space="preserve">ls_activity / ls_sleep</t>
  </si>
  <si>
    <r>
      <rPr>
        <sz val="10"/>
        <rFont val="Arial"/>
        <family val="0"/>
        <charset val="1"/>
      </rPr>
      <t xml:space="preserve">●(</t>
    </r>
    <r>
      <rPr>
        <sz val="10"/>
        <rFont val="Noto Sans CJK SC"/>
        <family val="2"/>
      </rPr>
      <t xml:space="preserve">저염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</si>
  <si>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●(</t>
    </r>
    <r>
      <rPr>
        <sz val="10"/>
        <rFont val="Noto Sans CJK SC"/>
        <family val="2"/>
      </rPr>
      <t xml:space="preserve">당류</t>
    </r>
    <r>
      <rPr>
        <sz val="10"/>
        <rFont val="Arial"/>
        <family val="0"/>
        <charset val="1"/>
      </rPr>
      <t xml:space="preserve">)</t>
    </r>
  </si>
  <si>
    <t xml:space="preserve">대시보드</t>
  </si>
  <si>
    <t xml:space="preserve">혈압 측정값</t>
  </si>
  <si>
    <r>
      <rPr>
        <sz val="10"/>
        <rFont val="Noto Sans CJK SC"/>
        <family val="2"/>
      </rPr>
      <t xml:space="preserve">혈당</t>
    </r>
    <r>
      <rPr>
        <sz val="10"/>
        <rFont val="Arial"/>
        <family val="0"/>
        <charset val="1"/>
      </rPr>
      <t xml:space="preserve">·HbA1c</t>
    </r>
  </si>
  <si>
    <t xml:space="preserve">지수</t>
  </si>
  <si>
    <r>
      <rPr>
        <sz val="10"/>
        <rFont val="Arial"/>
        <family val="0"/>
        <charset val="1"/>
      </rPr>
      <t xml:space="preserve">ACR·eGFR·</t>
    </r>
    <r>
      <rPr>
        <sz val="10"/>
        <rFont val="Noto Sans CJK SC"/>
        <family val="2"/>
      </rPr>
      <t xml:space="preserve">요단백</t>
    </r>
  </si>
  <si>
    <t xml:space="preserve">AST·ALT·GGT</t>
  </si>
  <si>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</si>
  <si>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체중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체지방 추이</t>
    </r>
  </si>
  <si>
    <t xml:space="preserve">범례</t>
  </si>
  <si>
    <t xml:space="preserve">● 주요 피처</t>
  </si>
  <si>
    <t xml:space="preserve">○ 보조 피처</t>
  </si>
  <si>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라벨 정의 변수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피처 제외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</si>
  <si>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밴드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판정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지표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지수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대시보드만</t>
    </r>
  </si>
  <si>
    <t xml:space="preserve">— 미사용</t>
  </si>
  <si>
    <t xml:space="preserve">record_type</t>
  </si>
  <si>
    <t xml:space="preserve">단위</t>
  </si>
  <si>
    <t xml:space="preserve">정상</t>
  </si>
  <si>
    <r>
      <rPr>
        <b val="true"/>
        <sz val="10"/>
        <color rgb="FFFFFFFF"/>
        <rFont val="Noto Sans CJK SC"/>
        <family val="2"/>
      </rPr>
      <t xml:space="preserve">주의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경계</t>
    </r>
  </si>
  <si>
    <t xml:space="preserve">위험</t>
  </si>
  <si>
    <t xml:space="preserve">기준 출처</t>
  </si>
  <si>
    <t xml:space="preserve">입력 기기</t>
  </si>
  <si>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수축기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이완기</t>
    </r>
    <r>
      <rPr>
        <sz val="10"/>
        <rFont val="Arial"/>
        <family val="0"/>
        <charset val="1"/>
      </rPr>
      <t xml:space="preserve">)</t>
    </r>
  </si>
  <si>
    <t xml:space="preserve">mmHg</t>
  </si>
  <si>
    <t xml:space="preserve">&lt;120 / &lt;80</t>
  </si>
  <si>
    <r>
      <rPr>
        <sz val="10"/>
        <rFont val="Arial"/>
        <family val="0"/>
        <charset val="1"/>
      </rPr>
      <t xml:space="preserve">120~139 / 80~89 (</t>
    </r>
    <r>
      <rPr>
        <sz val="10"/>
        <rFont val="Noto Sans CJK SC"/>
        <family val="2"/>
      </rPr>
      <t xml:space="preserve">전단계</t>
    </r>
    <r>
      <rPr>
        <sz val="10"/>
        <rFont val="Arial"/>
        <family val="0"/>
        <charset val="1"/>
      </rPr>
      <t xml:space="preserve">)</t>
    </r>
  </si>
  <si>
    <t xml:space="preserve">≥140 / ≥90</t>
  </si>
  <si>
    <t xml:space="preserve">대한고혈압학회 진료지침</t>
  </si>
  <si>
    <r>
      <rPr>
        <sz val="10"/>
        <rFont val="Noto Sans CJK SC"/>
        <family val="2"/>
      </rPr>
      <t xml:space="preserve">약 복용자는 목표 </t>
    </r>
    <r>
      <rPr>
        <sz val="10"/>
        <rFont val="Arial"/>
        <family val="0"/>
        <charset val="1"/>
      </rPr>
      <t xml:space="preserve">&lt;130/80 (</t>
    </r>
    <r>
      <rPr>
        <sz val="10"/>
        <rFont val="Noto Sans CJK SC"/>
        <family val="2"/>
      </rPr>
      <t xml:space="preserve">관리 모드</t>
    </r>
    <r>
      <rPr>
        <sz val="10"/>
        <rFont val="Arial"/>
        <family val="0"/>
        <charset val="1"/>
      </rPr>
      <t xml:space="preserve">)</t>
    </r>
  </si>
  <si>
    <t xml:space="preserve">공복혈당</t>
  </si>
  <si>
    <t xml:space="preserve">mg/dL</t>
  </si>
  <si>
    <t xml:space="preserve">&lt;100</t>
  </si>
  <si>
    <r>
      <rPr>
        <sz val="10"/>
        <rFont val="Arial"/>
        <family val="0"/>
        <charset val="1"/>
      </rPr>
      <t xml:space="preserve">100~125 (</t>
    </r>
    <r>
      <rPr>
        <sz val="10"/>
        <rFont val="Noto Sans CJK SC"/>
        <family val="2"/>
      </rPr>
      <t xml:space="preserve">공복혈당장애</t>
    </r>
    <r>
      <rPr>
        <sz val="10"/>
        <rFont val="Arial"/>
        <family val="0"/>
        <charset val="1"/>
      </rPr>
      <t xml:space="preserve">)</t>
    </r>
  </si>
  <si>
    <t xml:space="preserve">≥126</t>
  </si>
  <si>
    <t xml:space="preserve">대한당뇨병학회</t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</si>
  <si>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혈당</t>
    </r>
  </si>
  <si>
    <t xml:space="preserve">&lt;140</t>
  </si>
  <si>
    <t xml:space="preserve">140~199</t>
  </si>
  <si>
    <t xml:space="preserve">≥200</t>
  </si>
  <si>
    <t xml:space="preserve">당화혈색소</t>
  </si>
  <si>
    <t xml:space="preserve">%</t>
  </si>
  <si>
    <t xml:space="preserve">&lt;5.7</t>
  </si>
  <si>
    <t xml:space="preserve">5.7~6.4</t>
  </si>
  <si>
    <t xml:space="preserve">≥6.5</t>
  </si>
  <si>
    <r>
      <rPr>
        <sz val="10"/>
        <rFont val="Noto Sans CJK SC"/>
        <family val="2"/>
      </rPr>
      <t xml:space="preserve">관리 모드 목표 </t>
    </r>
    <r>
      <rPr>
        <sz val="10"/>
        <rFont val="Arial"/>
        <family val="0"/>
        <charset val="1"/>
      </rPr>
      <t xml:space="preserve">&lt;6.5</t>
    </r>
  </si>
  <si>
    <t xml:space="preserve">kg/m²</t>
  </si>
  <si>
    <t xml:space="preserve">18.5~22.9</t>
  </si>
  <si>
    <r>
      <rPr>
        <sz val="10"/>
        <rFont val="Arial"/>
        <family val="0"/>
        <charset val="1"/>
      </rPr>
      <t xml:space="preserve">23~24.9 (</t>
    </r>
    <r>
      <rPr>
        <sz val="10"/>
        <rFont val="Noto Sans CJK SC"/>
        <family val="2"/>
      </rPr>
      <t xml:space="preserve">과체중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</si>
  <si>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≥25 (</t>
    </r>
    <r>
      <rPr>
        <sz val="10"/>
        <rFont val="Noto Sans CJK SC"/>
        <family val="2"/>
      </rPr>
      <t xml:space="preserve">비만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</si>
  <si>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대한비만학회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아시아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</si>
  <si>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&lt;18.5 </t>
    </r>
    <r>
      <rPr>
        <sz val="10"/>
        <rFont val="Noto Sans CJK SC"/>
        <family val="2"/>
      </rPr>
      <t xml:space="preserve">저체중 별도 표시</t>
    </r>
  </si>
  <si>
    <t xml:space="preserve">waist</t>
  </si>
  <si>
    <t xml:space="preserve">cm</t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</si>
  <si>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&lt;90 / 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&lt;85</t>
    </r>
  </si>
  <si>
    <r>
      <rPr>
        <sz val="10"/>
        <rFont val="Noto Sans CJK SC"/>
        <family val="2"/>
      </rPr>
      <t xml:space="preserve">남 ≥</t>
    </r>
    <r>
      <rPr>
        <sz val="10"/>
        <rFont val="Arial"/>
        <family val="0"/>
        <charset val="1"/>
      </rPr>
      <t xml:space="preserve">90 / </t>
    </r>
    <r>
      <rPr>
        <sz val="10"/>
        <rFont val="Noto Sans CJK SC"/>
        <family val="2"/>
      </rPr>
      <t xml:space="preserve">여 ≥</t>
    </r>
    <r>
      <rPr>
        <sz val="10"/>
        <rFont val="Arial"/>
        <family val="0"/>
        <charset val="1"/>
      </rPr>
      <t xml:space="preserve">85</t>
    </r>
  </si>
  <si>
    <t xml:space="preserve">대한비만학회</t>
  </si>
  <si>
    <t xml:space="preserve">대사증후군 기준</t>
  </si>
  <si>
    <r>
      <rPr>
        <sz val="10"/>
        <rFont val="Arial"/>
        <family val="0"/>
        <charset val="1"/>
      </rPr>
      <t xml:space="preserve">LDL </t>
    </r>
    <r>
      <rPr>
        <sz val="10"/>
        <rFont val="Noto Sans CJK SC"/>
        <family val="2"/>
      </rPr>
      <t xml:space="preserve">콜레스테롤</t>
    </r>
  </si>
  <si>
    <r>
      <rPr>
        <sz val="10"/>
        <rFont val="Arial"/>
        <family val="0"/>
        <charset val="1"/>
      </rPr>
      <t xml:space="preserve">&lt;100 </t>
    </r>
    <r>
      <rPr>
        <sz val="10"/>
        <rFont val="Noto Sans CJK SC"/>
        <family val="2"/>
      </rPr>
      <t xml:space="preserve">적정 </t>
    </r>
    <r>
      <rPr>
        <sz val="10"/>
        <rFont val="Arial"/>
        <family val="0"/>
        <charset val="1"/>
      </rPr>
      <t xml:space="preserve">· 100~129 </t>
    </r>
    <r>
      <rPr>
        <sz val="10"/>
        <rFont val="Noto Sans CJK SC"/>
        <family val="2"/>
      </rPr>
      <t xml:space="preserve">정상</t>
    </r>
  </si>
  <si>
    <t xml:space="preserve">130~159</t>
  </si>
  <si>
    <t xml:space="preserve">≥160</t>
  </si>
  <si>
    <r>
      <rPr>
        <sz val="10"/>
        <rFont val="Noto Sans CJK SC"/>
        <family val="2"/>
      </rPr>
      <t xml:space="preserve">한국지질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동맥경화학회</t>
    </r>
  </si>
  <si>
    <t xml:space="preserve">총콜레스테롤</t>
  </si>
  <si>
    <t xml:space="preserve">&lt;200</t>
  </si>
  <si>
    <t xml:space="preserve">200~239</t>
  </si>
  <si>
    <t xml:space="preserve">≥240</t>
  </si>
  <si>
    <t xml:space="preserve">중성지방</t>
  </si>
  <si>
    <t xml:space="preserve">&lt;150</t>
  </si>
  <si>
    <t xml:space="preserve">150~199</t>
  </si>
  <si>
    <r>
      <rPr>
        <sz val="10"/>
        <rFont val="Arial"/>
        <family val="0"/>
        <charset val="1"/>
      </rPr>
      <t xml:space="preserve">HDL </t>
    </r>
    <r>
      <rPr>
        <sz val="10"/>
        <rFont val="Noto Sans CJK SC"/>
        <family val="2"/>
      </rPr>
      <t xml:space="preserve">콜레스테롤</t>
    </r>
  </si>
  <si>
    <r>
      <rPr>
        <sz val="10"/>
        <rFont val="Arial"/>
        <family val="0"/>
        <charset val="1"/>
      </rPr>
      <t xml:space="preserve">≥60 (</t>
    </r>
    <r>
      <rPr>
        <sz val="10"/>
        <rFont val="Noto Sans CJK SC"/>
        <family val="2"/>
      </rPr>
      <t xml:space="preserve">높을수록 좋음</t>
    </r>
    <r>
      <rPr>
        <sz val="10"/>
        <rFont val="Arial"/>
        <family val="0"/>
        <charset val="1"/>
      </rPr>
      <t xml:space="preserve">)</t>
    </r>
  </si>
  <si>
    <t xml:space="preserve">40~59</t>
  </si>
  <si>
    <t xml:space="preserve">&lt;40</t>
  </si>
  <si>
    <t xml:space="preserve">방향 반대</t>
  </si>
  <si>
    <t xml:space="preserve">요단백 스틱</t>
  </si>
  <si>
    <t xml:space="preserve">음성</t>
  </si>
  <si>
    <t xml:space="preserve">±</t>
  </si>
  <si>
    <r>
      <rPr>
        <sz val="10"/>
        <rFont val="Arial"/>
        <family val="0"/>
        <charset val="1"/>
      </rPr>
      <t xml:space="preserve">1+ </t>
    </r>
    <r>
      <rPr>
        <sz val="10"/>
        <rFont val="Noto Sans CJK SC"/>
        <family val="2"/>
      </rPr>
      <t xml:space="preserve">이상</t>
    </r>
  </si>
  <si>
    <r>
      <rPr>
        <sz val="10"/>
        <rFont val="Arial"/>
        <family val="0"/>
        <charset val="1"/>
      </rPr>
      <t xml:space="preserve">KDIGO / </t>
    </r>
    <r>
      <rPr>
        <sz val="10"/>
        <rFont val="Noto Sans CJK SC"/>
        <family val="2"/>
      </rPr>
      <t xml:space="preserve">스틱 제조사</t>
    </r>
  </si>
  <si>
    <t xml:space="preserve">소변 스틱</t>
  </si>
  <si>
    <t xml:space="preserve">추정 사구체여과율</t>
  </si>
  <si>
    <t xml:space="preserve">mL/min/1.73m²</t>
  </si>
  <si>
    <t xml:space="preserve">≥90</t>
  </si>
  <si>
    <t xml:space="preserve">60~89</t>
  </si>
  <si>
    <t xml:space="preserve">&lt;60</t>
  </si>
  <si>
    <t xml:space="preserve">KDIGO 2024 (CKD-EPI 2021)</t>
  </si>
  <si>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크레아티닌</t>
    </r>
    <r>
      <rPr>
        <sz val="10"/>
        <rFont val="Arial"/>
        <family val="0"/>
        <charset val="1"/>
      </rPr>
      <t xml:space="preserve">)</t>
    </r>
  </si>
  <si>
    <t xml:space="preserve">acr</t>
  </si>
  <si>
    <r>
      <rPr>
        <sz val="10"/>
        <rFont val="Noto Sans CJK SC"/>
        <family val="2"/>
      </rPr>
      <t xml:space="preserve">요알부민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크레아티닌비</t>
    </r>
  </si>
  <si>
    <t xml:space="preserve">mg/g</t>
  </si>
  <si>
    <t xml:space="preserve">&lt;30</t>
  </si>
  <si>
    <t xml:space="preserve">30~299</t>
  </si>
  <si>
    <t xml:space="preserve">≥300</t>
  </si>
  <si>
    <t xml:space="preserve">KDIGO</t>
  </si>
  <si>
    <r>
      <rPr>
        <sz val="10"/>
        <rFont val="Noto Sans CJK SC"/>
        <family val="2"/>
      </rPr>
      <t xml:space="preserve">지방간 지수 </t>
    </r>
    <r>
      <rPr>
        <sz val="10"/>
        <rFont val="Arial"/>
        <family val="0"/>
        <charset val="1"/>
      </rPr>
      <t xml:space="preserve">HSI</t>
    </r>
  </si>
  <si>
    <t xml:space="preserve">점</t>
  </si>
  <si>
    <t xml:space="preserve">≤30</t>
  </si>
  <si>
    <t xml:space="preserve">30~36</t>
  </si>
  <si>
    <t xml:space="preserve">&gt;36</t>
  </si>
  <si>
    <t xml:space="preserve">Lee et al. 2010</t>
  </si>
  <si>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(AST·ALT·BMI)</t>
    </r>
  </si>
  <si>
    <t xml:space="preserve">초음파 대리</t>
  </si>
  <si>
    <r>
      <rPr>
        <sz val="10"/>
        <rFont val="Noto Sans CJK SC"/>
        <family val="2"/>
      </rPr>
      <t xml:space="preserve">지방간 지수 </t>
    </r>
    <r>
      <rPr>
        <sz val="10"/>
        <rFont val="Arial"/>
        <family val="0"/>
        <charset val="1"/>
      </rPr>
      <t xml:space="preserve">FLI</t>
    </r>
  </si>
  <si>
    <t xml:space="preserve">30~59</t>
  </si>
  <si>
    <t xml:space="preserve">≥60</t>
  </si>
  <si>
    <t xml:space="preserve">Bedogni et al. 2006</t>
  </si>
  <si>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(TG·BMI·GGT·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)</t>
    </r>
  </si>
  <si>
    <t xml:space="preserve">spo2</t>
  </si>
  <si>
    <t xml:space="preserve">산소포화도</t>
  </si>
  <si>
    <t xml:space="preserve">≥95</t>
  </si>
  <si>
    <t xml:space="preserve">90~94</t>
  </si>
  <si>
    <t xml:space="preserve">&lt;90</t>
  </si>
  <si>
    <t xml:space="preserve">보조 지표</t>
  </si>
  <si>
    <r>
      <rPr>
        <sz val="10"/>
        <rFont val="Noto Sans CJK SC"/>
        <family val="2"/>
      </rPr>
      <t xml:space="preserve">펄스옥시미터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워치</t>
    </r>
  </si>
  <si>
    <t xml:space="preserve">모델 미사용</t>
  </si>
  <si>
    <t xml:space="preserve">sleep</t>
  </si>
  <si>
    <t xml:space="preserve">수면시간</t>
  </si>
  <si>
    <t xml:space="preserve">시간</t>
  </si>
  <si>
    <t xml:space="preserve">7~9</t>
  </si>
  <si>
    <t xml:space="preserve">6~6.9 / 9~10</t>
  </si>
  <si>
    <t xml:space="preserve">&lt;6 / &gt;10</t>
  </si>
  <si>
    <t xml:space="preserve">보조</t>
  </si>
  <si>
    <r>
      <rPr>
        <sz val="10"/>
        <rFont val="Noto Sans CJK SC"/>
        <family val="2"/>
      </rPr>
      <t xml:space="preserve">워치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자기보고</t>
    </r>
  </si>
  <si>
    <r>
      <rPr>
        <b val="true"/>
        <sz val="10"/>
        <color rgb="FFFFFFFF"/>
        <rFont val="Noto Sans CJK SC"/>
        <family val="2"/>
      </rPr>
      <t xml:space="preserve">라벨 </t>
    </r>
    <r>
      <rPr>
        <b val="true"/>
        <sz val="10"/>
        <color rgb="FFFFFFFF"/>
        <rFont val="Arial"/>
        <family val="0"/>
        <charset val="1"/>
      </rPr>
      <t xml:space="preserve">= 1 </t>
    </r>
    <r>
      <rPr>
        <b val="true"/>
        <sz val="10"/>
        <color rgb="FFFFFFFF"/>
        <rFont val="Noto Sans CJK SC"/>
        <family val="2"/>
      </rPr>
      <t xml:space="preserve">조건</t>
    </r>
  </si>
  <si>
    <r>
      <rPr>
        <b val="true"/>
        <sz val="10"/>
        <color rgb="FFFFFFFF"/>
        <rFont val="Noto Sans CJK SC"/>
        <family val="2"/>
      </rPr>
      <t xml:space="preserve">피처에서 제외할 변수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누수 방지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</si>
  <si>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D3 BRFSS</t>
  </si>
  <si>
    <t xml:space="preserve">모델 여부</t>
  </si>
  <si>
    <r>
      <rPr>
        <sz val="10"/>
        <rFont val="Noto Sans CJK SC"/>
        <family val="2"/>
      </rPr>
      <t xml:space="preserve">의사진단 또는 혈압약 또는 </t>
    </r>
    <r>
      <rPr>
        <sz val="10"/>
        <rFont val="Arial"/>
        <family val="0"/>
        <charset val="1"/>
      </rPr>
      <t xml:space="preserve">SBP≥140/DBP≥90</t>
    </r>
  </si>
  <si>
    <t xml:space="preserve">systolic_bp, diastolic_bp, has_htn, htn_medication</t>
  </si>
  <si>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측정</t>
    </r>
  </si>
  <si>
    <t xml:space="preserve">측정만</t>
  </si>
  <si>
    <r>
      <rPr>
        <sz val="10"/>
        <rFont val="Arial"/>
        <family val="0"/>
        <charset val="1"/>
      </rPr>
      <t xml:space="preserve">HighBP(</t>
    </r>
    <r>
      <rPr>
        <sz val="10"/>
        <rFont val="Noto Sans CJK SC"/>
        <family val="2"/>
      </rPr>
      <t xml:space="preserve">자기보고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</si>
  <si>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모델 </t>
    </r>
    <r>
      <rPr>
        <sz val="10"/>
        <rFont val="Arial"/>
        <family val="0"/>
        <charset val="1"/>
      </rPr>
      <t xml:space="preserve">(S2)</t>
    </r>
  </si>
  <si>
    <r>
      <rPr>
        <sz val="10"/>
        <rFont val="Noto Sans CJK SC"/>
        <family val="2"/>
      </rPr>
      <t xml:space="preserve">의사진단 또는 당뇨약 또는 </t>
    </r>
    <r>
      <rPr>
        <sz val="10"/>
        <rFont val="Arial"/>
        <family val="0"/>
        <charset val="1"/>
      </rPr>
      <t xml:space="preserve">FPG≥126 / HbA1c≥6.5</t>
    </r>
  </si>
  <si>
    <t xml:space="preserve">fasting_glucose, hba1c, has_dm, dm_medication</t>
  </si>
  <si>
    <t xml:space="preserve">모두</t>
  </si>
  <si>
    <t xml:space="preserve">공복혈당만</t>
  </si>
  <si>
    <t xml:space="preserve">BMI≥25</t>
  </si>
  <si>
    <r>
      <rPr>
        <sz val="10"/>
        <rFont val="Arial"/>
        <family val="0"/>
        <charset val="1"/>
      </rPr>
      <t xml:space="preserve">— (</t>
    </r>
    <r>
      <rPr>
        <sz val="10"/>
        <rFont val="Noto Sans CJK SC"/>
        <family val="2"/>
      </rPr>
      <t xml:space="preserve">모델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</si>
  <si>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BMI(5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)</t>
    </r>
  </si>
  <si>
    <t xml:space="preserve">밴드만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</si>
  <si>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기준 중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이상</t>
    </r>
  </si>
  <si>
    <r>
      <rPr>
        <sz val="10"/>
        <rFont val="Arial"/>
        <family val="0"/>
        <charset val="1"/>
      </rPr>
      <t xml:space="preserve">— (</t>
    </r>
    <r>
      <rPr>
        <sz val="10"/>
        <rFont val="Noto Sans CJK SC"/>
        <family val="2"/>
      </rPr>
      <t xml:space="preserve">규칙 판정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</si>
  <si>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전부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</si>
  <si>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약물 제외</t>
    </r>
    <r>
      <rPr>
        <sz val="10"/>
        <rFont val="Arial"/>
        <family val="0"/>
        <charset val="1"/>
      </rPr>
      <t xml:space="preserve">)</t>
    </r>
  </si>
  <si>
    <t xml:space="preserve">불가</t>
  </si>
  <si>
    <r>
      <rPr>
        <sz val="10"/>
        <rFont val="Noto Sans CJK SC"/>
        <family val="2"/>
      </rPr>
      <t xml:space="preserve">규칙 </t>
    </r>
    <r>
      <rPr>
        <sz val="10"/>
        <rFont val="Arial"/>
        <family val="0"/>
        <charset val="1"/>
      </rPr>
      <t xml:space="preserve">(S4)</t>
    </r>
  </si>
  <si>
    <r>
      <rPr>
        <sz val="10"/>
        <rFont val="Arial"/>
        <family val="0"/>
        <charset val="1"/>
      </rPr>
      <t xml:space="preserve">ACR≥30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eGFR&lt;60 </t>
    </r>
    <r>
      <rPr>
        <sz val="10"/>
        <rFont val="Noto Sans CJK SC"/>
        <family val="2"/>
      </rPr>
      <t xml:space="preserve">또는 스틱 </t>
    </r>
    <r>
      <rPr>
        <sz val="10"/>
        <rFont val="Arial"/>
        <family val="0"/>
        <charset val="1"/>
      </rPr>
      <t xml:space="preserve">1+↑</t>
    </r>
  </si>
  <si>
    <t xml:space="preserve">acr, egfr, creatinine, urine_protein</t>
  </si>
  <si>
    <r>
      <rPr>
        <sz val="10"/>
        <rFont val="Arial"/>
        <family val="0"/>
        <charset val="1"/>
      </rPr>
      <t xml:space="preserve">ACR·eGFR·</t>
    </r>
    <r>
      <rPr>
        <sz val="10"/>
        <rFont val="Noto Sans CJK SC"/>
        <family val="2"/>
      </rPr>
      <t xml:space="preserve">스틱</t>
    </r>
  </si>
  <si>
    <r>
      <rPr>
        <sz val="10"/>
        <rFont val="Noto Sans CJK SC"/>
        <family val="2"/>
      </rPr>
      <t xml:space="preserve">스틱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크레아티닌</t>
    </r>
  </si>
  <si>
    <t xml:space="preserve">ACR·eGFR</t>
  </si>
  <si>
    <r>
      <rPr>
        <sz val="10"/>
        <rFont val="Noto Sans CJK SC"/>
        <family val="2"/>
      </rPr>
      <t xml:space="preserve">모델 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판단</t>
    </r>
  </si>
  <si>
    <r>
      <rPr>
        <sz val="10"/>
        <rFont val="Noto Sans CJK SC"/>
        <family val="2"/>
      </rPr>
      <t xml:space="preserve">지방간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</si>
  <si>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HSI&gt;36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FLI≥60</t>
    </r>
  </si>
  <si>
    <r>
      <rPr>
        <sz val="10"/>
        <rFont val="Arial"/>
        <family val="0"/>
        <charset val="1"/>
      </rPr>
      <t xml:space="preserve">AST·ALT·TG·BMI·</t>
    </r>
    <r>
      <rPr>
        <sz val="10"/>
        <rFont val="Noto Sans CJK SC"/>
        <family val="2"/>
      </rPr>
      <t xml:space="preserve">허리</t>
    </r>
  </si>
  <si>
    <t xml:space="preserve">동일</t>
  </si>
  <si>
    <r>
      <rPr>
        <sz val="10"/>
        <rFont val="Noto Sans CJK SC"/>
        <family val="2"/>
      </rPr>
      <t xml:space="preserve">대리 </t>
    </r>
    <r>
      <rPr>
        <sz val="10"/>
        <rFont val="Arial"/>
        <family val="0"/>
        <charset val="1"/>
      </rPr>
      <t xml:space="preserve">+ CAP </t>
    </r>
    <r>
      <rPr>
        <sz val="10"/>
        <rFont val="Noto Sans CJK SC"/>
        <family val="2"/>
      </rPr>
      <t xml:space="preserve">검증</t>
    </r>
  </si>
  <si>
    <t xml:space="preserve">지수만</t>
  </si>
  <si>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 또는 </t>
    </r>
    <r>
      <rPr>
        <sz val="10"/>
        <rFont val="Arial"/>
        <family val="0"/>
        <charset val="1"/>
      </rPr>
      <t xml:space="preserve">LDL≥160/</t>
    </r>
    <r>
      <rPr>
        <sz val="10"/>
        <rFont val="Noto Sans CJK SC"/>
        <family val="2"/>
      </rPr>
      <t xml:space="preserve">총콜≥</t>
    </r>
    <r>
      <rPr>
        <sz val="10"/>
        <rFont val="Arial"/>
        <family val="0"/>
        <charset val="1"/>
      </rPr>
      <t xml:space="preserve">240/TG≥200/HDL&lt;40</t>
    </r>
  </si>
  <si>
    <t xml:space="preserve">ldl, total_chol, triglycerides, hdl, lipid_medication</t>
  </si>
  <si>
    <t xml:space="preserve">HighChol</t>
  </si>
  <si>
    <r>
      <rPr>
        <b val="true"/>
        <sz val="10"/>
        <color rgb="FFFFFFFF"/>
        <rFont val="Noto Sans CJK SC"/>
        <family val="2"/>
      </rPr>
      <t xml:space="preserve">지표</t>
    </r>
    <r>
      <rPr>
        <b val="true"/>
        <sz val="10"/>
        <color rgb="FFFFFFFF"/>
        <rFont val="Arial"/>
        <family val="0"/>
        <charset val="1"/>
      </rPr>
      <t xml:space="preserve">(record_type)</t>
    </r>
  </si>
  <si>
    <r>
      <rPr>
        <b val="true"/>
        <sz val="10"/>
        <color rgb="FFFFFFFF"/>
        <rFont val="Arial"/>
        <family val="0"/>
        <charset val="1"/>
      </rPr>
      <t xml:space="preserve">0%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정상 상한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</si>
  <si>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100%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진단 기준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</si>
  <si>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근접도 계산식</t>
  </si>
  <si>
    <t xml:space="preserve">예시</t>
  </si>
  <si>
    <t xml:space="preserve">질환 근접도 합산</t>
  </si>
  <si>
    <r>
      <rPr>
        <b val="true"/>
        <sz val="10"/>
        <color rgb="FFFFFFFF"/>
        <rFont val="Noto Sans CJK SC"/>
        <family val="2"/>
      </rPr>
      <t xml:space="preserve">환자군 백분위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보조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</si>
  <si>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갱신 시점</t>
  </si>
  <si>
    <t xml:space="preserve">systolic_bp</t>
  </si>
  <si>
    <t xml:space="preserve">120</t>
  </si>
  <si>
    <t xml:space="preserve">140</t>
  </si>
  <si>
    <t xml:space="preserve">(x−120)/(140−120)×100</t>
  </si>
  <si>
    <r>
      <rPr>
        <sz val="10"/>
        <rFont val="Arial"/>
        <family val="0"/>
        <charset val="1"/>
      </rPr>
      <t xml:space="preserve">130 → 50% / 150 → 150%(</t>
    </r>
    <r>
      <rPr>
        <sz val="10"/>
        <rFont val="Noto Sans CJK SC"/>
        <family val="2"/>
      </rPr>
      <t xml:space="preserve">넘어감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</si>
  <si>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max(SBP, DBP </t>
    </r>
    <r>
      <rPr>
        <sz val="10"/>
        <rFont val="Noto Sans CJK SC"/>
        <family val="2"/>
      </rPr>
      <t xml:space="preserve">근접도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</si>
  <si>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고혈압 진단군의 </t>
    </r>
    <r>
      <rPr>
        <sz val="10"/>
        <rFont val="Arial"/>
        <family val="0"/>
        <charset val="1"/>
      </rPr>
      <t xml:space="preserve">SBP </t>
    </r>
    <r>
      <rPr>
        <sz val="10"/>
        <rFont val="Noto Sans CJK SC"/>
        <family val="2"/>
      </rPr>
      <t xml:space="preserve">분포에서 사용자 값의 백분위</t>
    </r>
  </si>
  <si>
    <t xml:space="preserve">혈압 기록 시</t>
  </si>
  <si>
    <r>
      <rPr>
        <sz val="10"/>
        <rFont val="Noto Sans CJK SC"/>
        <family val="2"/>
      </rPr>
      <t xml:space="preserve">약 복용자는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기준을 </t>
    </r>
    <r>
      <rPr>
        <sz val="10"/>
        <rFont val="Arial"/>
        <family val="0"/>
        <charset val="1"/>
      </rPr>
      <t xml:space="preserve">130</t>
    </r>
    <r>
      <rPr>
        <sz val="10"/>
        <rFont val="Noto Sans CJK SC"/>
        <family val="2"/>
      </rPr>
      <t xml:space="preserve">으로 낮춤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관리 모드</t>
    </r>
    <r>
      <rPr>
        <sz val="10"/>
        <rFont val="Arial"/>
        <family val="0"/>
        <charset val="1"/>
      </rPr>
      <t xml:space="preserve">)</t>
    </r>
  </si>
  <si>
    <t xml:space="preserve">diastolic_bp</t>
  </si>
  <si>
    <t xml:space="preserve">80</t>
  </si>
  <si>
    <t xml:space="preserve">90</t>
  </si>
  <si>
    <t xml:space="preserve">(x−80)/(90−80)×100</t>
  </si>
  <si>
    <t xml:space="preserve">85 → 50%</t>
  </si>
  <si>
    <t xml:space="preserve">100</t>
  </si>
  <si>
    <t xml:space="preserve">126</t>
  </si>
  <si>
    <t xml:space="preserve">(x−100)/(126−100)×100</t>
  </si>
  <si>
    <t xml:space="preserve">113 → 50% / 140 → 154%</t>
  </si>
  <si>
    <r>
      <rPr>
        <sz val="10"/>
        <rFont val="Arial"/>
        <family val="0"/>
        <charset val="1"/>
      </rPr>
      <t xml:space="preserve">max(FPG, </t>
    </r>
    <r>
      <rPr>
        <sz val="10"/>
        <rFont val="Noto Sans CJK SC"/>
        <family val="2"/>
      </rPr>
      <t xml:space="preserve">식후</t>
    </r>
    <r>
      <rPr>
        <sz val="10"/>
        <rFont val="Arial"/>
        <family val="0"/>
        <charset val="1"/>
      </rPr>
      <t xml:space="preserve">, HbA1c)</t>
    </r>
  </si>
  <si>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당뇨 진단군 </t>
    </r>
    <r>
      <rPr>
        <sz val="10"/>
        <rFont val="Arial"/>
        <family val="0"/>
        <charset val="1"/>
      </rPr>
      <t xml:space="preserve">FPG </t>
    </r>
    <r>
      <rPr>
        <sz val="10"/>
        <rFont val="Noto Sans CJK SC"/>
        <family val="2"/>
      </rPr>
      <t xml:space="preserve">백분위</t>
    </r>
  </si>
  <si>
    <t xml:space="preserve">혈당 기록 시</t>
  </si>
  <si>
    <t xml:space="preserve">200</t>
  </si>
  <si>
    <t xml:space="preserve">(x−140)/60×100</t>
  </si>
  <si>
    <t xml:space="preserve">170 → 50%</t>
  </si>
  <si>
    <t xml:space="preserve">5.7</t>
  </si>
  <si>
    <t xml:space="preserve">6.5</t>
  </si>
  <si>
    <t xml:space="preserve">(x−5.7)/0.8×100</t>
  </si>
  <si>
    <t xml:space="preserve">6.1 → 50%</t>
  </si>
  <si>
    <t xml:space="preserve">검진 입력 시</t>
  </si>
  <si>
    <t xml:space="preserve">23</t>
  </si>
  <si>
    <t xml:space="preserve">25</t>
  </si>
  <si>
    <t xml:space="preserve">(x−23)/2×100</t>
  </si>
  <si>
    <t xml:space="preserve">24 → 50% / 28 → 250%</t>
  </si>
  <si>
    <r>
      <rPr>
        <sz val="10"/>
        <rFont val="Arial"/>
        <family val="0"/>
        <charset val="1"/>
      </rPr>
      <t xml:space="preserve">max(BMI, 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</si>
  <si>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D2 BMI </t>
    </r>
    <r>
      <rPr>
        <sz val="10"/>
        <rFont val="Noto Sans CJK SC"/>
        <family val="2"/>
      </rPr>
      <t xml:space="preserve">분포 백분위</t>
    </r>
  </si>
  <si>
    <t xml:space="preserve">체중 기록 시</t>
  </si>
  <si>
    <r>
      <rPr>
        <sz val="10"/>
        <rFont val="Noto Sans CJK SC"/>
        <family val="2"/>
      </rPr>
      <t xml:space="preserve">구간이 좁아 변화가 크게 보임 → 화면에서 </t>
    </r>
    <r>
      <rPr>
        <sz val="10"/>
        <rFont val="Arial"/>
        <family val="0"/>
        <charset val="1"/>
      </rPr>
      <t xml:space="preserve">±</t>
    </r>
    <r>
      <rPr>
        <sz val="10"/>
        <rFont val="Noto Sans CJK SC"/>
        <family val="2"/>
      </rPr>
      <t xml:space="preserve">상한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로 클리핑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</si>
  <si>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85 / 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80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</si>
  <si>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90 / 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85</t>
    </r>
  </si>
  <si>
    <r>
      <rPr>
        <sz val="10"/>
        <rFont val="Arial"/>
        <family val="0"/>
        <charset val="1"/>
      </rPr>
      <t xml:space="preserve">(x−0%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)/5×100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</si>
  <si>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87.5 → 50%</t>
    </r>
  </si>
  <si>
    <t xml:space="preserve">허리둘레 기록 시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</si>
  <si>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기준 충족 수</t>
    </r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</si>
  <si>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</si>
  <si>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</si>
  <si>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충족 수</t>
    </r>
    <r>
      <rPr>
        <sz val="10"/>
        <rFont val="Arial"/>
        <family val="0"/>
        <charset val="1"/>
      </rPr>
      <t xml:space="preserve">/3×100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</si>
  <si>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→ </t>
    </r>
    <r>
      <rPr>
        <sz val="10"/>
        <rFont val="Arial"/>
        <family val="0"/>
        <charset val="1"/>
      </rPr>
      <t xml:space="preserve">33% / 4</t>
    </r>
    <r>
      <rPr>
        <sz val="10"/>
        <rFont val="Noto Sans CJK SC"/>
        <family val="2"/>
      </rPr>
      <t xml:space="preserve">개 → </t>
    </r>
    <r>
      <rPr>
        <sz val="10"/>
        <rFont val="Arial"/>
        <family val="0"/>
        <charset val="1"/>
      </rPr>
      <t xml:space="preserve">133%</t>
    </r>
  </si>
  <si>
    <r>
      <rPr>
        <sz val="10"/>
        <rFont val="Noto Sans CJK SC"/>
        <family val="2"/>
      </rPr>
      <t xml:space="preserve">충족 수 기반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각 기준 근접도 평균</t>
    </r>
  </si>
  <si>
    <t xml:space="preserve">어느 지표든 갱신 시</t>
  </si>
  <si>
    <t xml:space="preserve">규칙 판정과 동일</t>
  </si>
  <si>
    <r>
      <rPr>
        <sz val="10"/>
        <rFont val="Noto Sans CJK SC"/>
        <family val="2"/>
      </rPr>
      <t xml:space="preserve">음성</t>
    </r>
    <r>
      <rPr>
        <sz val="10"/>
        <rFont val="Arial"/>
        <family val="0"/>
        <charset val="1"/>
      </rPr>
      <t xml:space="preserve">(0)</t>
    </r>
  </si>
  <si>
    <t xml:space="preserve">1+(2)</t>
  </si>
  <si>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/2×100</t>
    </r>
  </si>
  <si>
    <t xml:space="preserve">± → 50%</t>
  </si>
  <si>
    <r>
      <rPr>
        <sz val="10"/>
        <rFont val="Arial"/>
        <family val="0"/>
        <charset val="1"/>
      </rPr>
      <t xml:space="preserve">max(</t>
    </r>
    <r>
      <rPr>
        <sz val="10"/>
        <rFont val="Noto Sans CJK SC"/>
        <family val="2"/>
      </rPr>
      <t xml:space="preserve">요단백</t>
    </r>
    <r>
      <rPr>
        <sz val="10"/>
        <rFont val="Arial"/>
        <family val="0"/>
        <charset val="1"/>
      </rPr>
      <t xml:space="preserve">, eGFR, ACR)</t>
    </r>
  </si>
  <si>
    <r>
      <rPr>
        <sz val="10"/>
        <rFont val="Noto Sans CJK SC"/>
        <family val="2"/>
      </rPr>
      <t xml:space="preserve">스틱 기록 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</si>
  <si>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반정량이라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단계만</t>
    </r>
  </si>
  <si>
    <t xml:space="preserve">60</t>
  </si>
  <si>
    <r>
      <rPr>
        <sz val="10"/>
        <rFont val="Arial"/>
        <family val="0"/>
        <charset val="1"/>
      </rPr>
      <t xml:space="preserve">(90−x)/30×100 (</t>
    </r>
    <r>
      <rPr>
        <sz val="10"/>
        <rFont val="Noto Sans CJK SC"/>
        <family val="2"/>
      </rPr>
      <t xml:space="preserve">방향 반대</t>
    </r>
    <r>
      <rPr>
        <sz val="10"/>
        <rFont val="Arial"/>
        <family val="0"/>
        <charset val="1"/>
      </rPr>
      <t xml:space="preserve">)</t>
    </r>
  </si>
  <si>
    <t xml:space="preserve">75 → 50%</t>
  </si>
  <si>
    <r>
      <rPr>
        <sz val="10"/>
        <rFont val="Arial"/>
        <family val="0"/>
        <charset val="1"/>
      </rPr>
      <t xml:space="preserve">D1 CKD</t>
    </r>
    <r>
      <rPr>
        <sz val="10"/>
        <rFont val="Noto Sans CJK SC"/>
        <family val="2"/>
      </rPr>
      <t xml:space="preserve">군 </t>
    </r>
    <r>
      <rPr>
        <sz val="10"/>
        <rFont val="Arial"/>
        <family val="0"/>
        <charset val="1"/>
      </rPr>
      <t xml:space="preserve">eGFR </t>
    </r>
    <r>
      <rPr>
        <sz val="10"/>
        <rFont val="Noto Sans CJK SC"/>
        <family val="2"/>
      </rPr>
      <t xml:space="preserve">백분위</t>
    </r>
  </si>
  <si>
    <t xml:space="preserve">0 (10)</t>
  </si>
  <si>
    <t xml:space="preserve">30</t>
  </si>
  <si>
    <t xml:space="preserve">(x−10)/20×100</t>
  </si>
  <si>
    <t xml:space="preserve">20 → 50%</t>
  </si>
  <si>
    <t xml:space="preserve">36</t>
  </si>
  <si>
    <t xml:space="preserve">(x−30)/6×100</t>
  </si>
  <si>
    <t xml:space="preserve">33 → 50%</t>
  </si>
  <si>
    <t xml:space="preserve">max(HSI, FLI)</t>
  </si>
  <si>
    <t xml:space="preserve">지수 자체가 대리 라벨</t>
  </si>
  <si>
    <t xml:space="preserve">(x−30)/30×100</t>
  </si>
  <si>
    <t xml:space="preserve">45 → 50%</t>
  </si>
  <si>
    <t xml:space="preserve">130</t>
  </si>
  <si>
    <t xml:space="preserve">160</t>
  </si>
  <si>
    <t xml:space="preserve">(x−130)/30×100</t>
  </si>
  <si>
    <t xml:space="preserve">145 → 50%</t>
  </si>
  <si>
    <r>
      <rPr>
        <sz val="10"/>
        <rFont val="Arial"/>
        <family val="0"/>
        <charset val="1"/>
      </rPr>
      <t xml:space="preserve">max(LDL, </t>
    </r>
    <r>
      <rPr>
        <sz val="10"/>
        <rFont val="Noto Sans CJK SC"/>
        <family val="2"/>
      </rPr>
      <t xml:space="preserve">총콜</t>
    </r>
    <r>
      <rPr>
        <sz val="10"/>
        <rFont val="Arial"/>
        <family val="0"/>
        <charset val="1"/>
      </rPr>
      <t xml:space="preserve">, TG, HDL)</t>
    </r>
  </si>
  <si>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진단군 백분위</t>
    </r>
  </si>
  <si>
    <t xml:space="preserve">240</t>
  </si>
  <si>
    <t xml:space="preserve">(x−200)/40×100</t>
  </si>
  <si>
    <t xml:space="preserve">150</t>
  </si>
  <si>
    <t xml:space="preserve">(x−150)/50×100</t>
  </si>
  <si>
    <t xml:space="preserve">40</t>
  </si>
  <si>
    <r>
      <rPr>
        <sz val="10"/>
        <rFont val="Arial"/>
        <family val="0"/>
        <charset val="1"/>
      </rPr>
      <t xml:space="preserve">(60−x)/20×100 (</t>
    </r>
    <r>
      <rPr>
        <sz val="10"/>
        <rFont val="Noto Sans CJK SC"/>
        <family val="2"/>
      </rPr>
      <t xml:space="preserve">방향 반대</t>
    </r>
    <r>
      <rPr>
        <sz val="10"/>
        <rFont val="Arial"/>
        <family val="0"/>
        <charset val="1"/>
      </rPr>
      <t xml:space="preserve">)</t>
    </r>
  </si>
  <si>
    <t xml:space="preserve">50 → 50%</t>
  </si>
  <si>
    <t xml:space="preserve">설계 원칙</t>
  </si>
  <si>
    <r>
      <rPr>
        <sz val="10"/>
        <rFont val="Noto Sans CJK SC"/>
        <family val="2"/>
      </rPr>
      <t xml:space="preserve">① 근접도는 측정값과 학회 기준만으로 계산하는 결정적 규칙 — 같은 입력이면 항상 같은 출력</t>
    </r>
    <r>
      <rPr>
        <sz val="10"/>
        <rFont val="Arial"/>
        <family val="0"/>
        <charset val="1"/>
      </rPr>
      <t xml:space="preserve">(AI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3-3). ② 100%</t>
    </r>
    <r>
      <rPr>
        <sz val="10"/>
        <rFont val="Noto Sans CJK SC"/>
        <family val="2"/>
      </rPr>
      <t xml:space="preserve">를 넘으면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진단 기준을 </t>
    </r>
    <r>
      <rPr>
        <sz val="10"/>
        <rFont val="Arial"/>
        <family val="0"/>
        <charset val="1"/>
      </rPr>
      <t xml:space="preserve">n% </t>
    </r>
    <r>
      <rPr>
        <sz val="10"/>
        <rFont val="Noto Sans CJK SC"/>
        <family val="2"/>
      </rPr>
      <t xml:space="preserve">넘어섬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표시하고 검진 권고</t>
    </r>
    <r>
      <rPr>
        <sz val="10"/>
        <rFont val="Arial"/>
        <family val="0"/>
        <charset val="1"/>
      </rPr>
      <t xml:space="preserve">. ③ </t>
    </r>
    <r>
      <rPr>
        <sz val="10"/>
        <rFont val="Noto Sans CJK SC"/>
        <family val="2"/>
      </rPr>
      <t xml:space="preserve">화면 표시는 −</t>
    </r>
    <r>
      <rPr>
        <sz val="10"/>
        <rFont val="Arial"/>
        <family val="0"/>
        <charset val="1"/>
      </rPr>
      <t xml:space="preserve">50%~200%</t>
    </r>
    <r>
      <rPr>
        <sz val="10"/>
        <rFont val="Noto Sans CJK SC"/>
        <family val="2"/>
      </rPr>
      <t xml:space="preserve">로 클리핑</t>
    </r>
    <r>
      <rPr>
        <sz val="10"/>
        <rFont val="Arial"/>
        <family val="0"/>
        <charset val="1"/>
      </rPr>
      <t xml:space="preserve">. ④ </t>
    </r>
    <r>
      <rPr>
        <sz val="10"/>
        <rFont val="Noto Sans CJK SC"/>
        <family val="2"/>
      </rPr>
      <t xml:space="preserve">근접도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지금 어디 있나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측정값 기반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ML </t>
    </r>
    <r>
      <rPr>
        <sz val="10"/>
        <rFont val="Noto Sans CJK SC"/>
        <family val="2"/>
      </rPr>
      <t xml:space="preserve">위험도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어디로 가고 있나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생활습관 기반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홈 카드에 나란히 둔다</t>
    </r>
    <r>
      <rPr>
        <sz val="10"/>
        <rFont val="Arial"/>
        <family val="0"/>
        <charset val="1"/>
      </rPr>
      <t xml:space="preserve">. ⑤ </t>
    </r>
    <r>
      <rPr>
        <sz val="10"/>
        <rFont val="Noto Sans CJK SC"/>
        <family val="2"/>
      </rPr>
      <t xml:space="preserve">환자군 백분위는 </t>
    </r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진단군 분포에서 계산해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고혈압 환자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명 중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번째 위치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같은 보조 문구로만 사용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</si>
</sst>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C6E0B4"/>
        <bgColor rgb="FFBFBFB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2" t="s">
        <v>9</v>
      </c>
      <c r="B7" s="3"/>
    </row>
    <row r="8" customFormat="false" ht="15" hidden="false" customHeight="false" outlineLevel="0" collapsed="false">
      <c r="A8" s="5" t="s">
        <v>10</v>
      </c>
      <c r="B8" s="3" t="s">
        <v>11</v>
      </c>
    </row>
    <row r="9" customFormat="false" ht="15" hidden="false" customHeight="false" outlineLevel="0" collapsed="false">
      <c r="A9" s="5" t="s">
        <v>12</v>
      </c>
      <c r="B9" s="3" t="s">
        <v>13</v>
      </c>
    </row>
    <row r="10" customFormat="false" ht="15" hidden="false" customHeight="false" outlineLevel="0" collapsed="false">
      <c r="A10" s="5" t="s">
        <v>14</v>
      </c>
      <c r="B10" s="3" t="s">
        <v>15</v>
      </c>
    </row>
    <row r="11" customFormat="false" ht="15" hidden="false" customHeight="false" outlineLevel="0" collapsed="false">
      <c r="A11" s="5" t="s">
        <v>16</v>
      </c>
      <c r="B11" s="3" t="s">
        <v>17</v>
      </c>
    </row>
    <row r="12" customFormat="false" ht="15" hidden="false" customHeight="false" outlineLevel="0" collapsed="false">
      <c r="A12" s="5" t="s">
        <v>18</v>
      </c>
      <c r="B12" s="3" t="s">
        <v>19</v>
      </c>
    </row>
    <row r="13" customFormat="false" ht="15" hidden="false" customHeight="false" outlineLevel="0" collapsed="false">
      <c r="A13" s="5" t="s">
        <v>20</v>
      </c>
      <c r="B13" s="3" t="s">
        <v>21</v>
      </c>
    </row>
    <row r="14" customFormat="false" ht="15" hidden="false" customHeight="false" outlineLevel="0" collapsed="false">
      <c r="A14" s="2"/>
      <c r="B14" s="3"/>
    </row>
    <row r="15" customFormat="false" ht="29.85" hidden="false" customHeight="false" outlineLevel="0" collapsed="false">
      <c r="A15" s="6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7" customFormat="false" ht="15" hidden="false" customHeight="false" outlineLevel="0" collapsed="false">
      <c r="A17" s="2"/>
      <c r="B17" s="3"/>
    </row>
    <row r="18" customFormat="false" ht="15" hidden="false" customHeight="false" outlineLevel="0" collapsed="false">
      <c r="A18" s="2" t="s">
        <v>26</v>
      </c>
      <c r="B18" s="3"/>
    </row>
    <row r="19" customFormat="false" ht="15" hidden="false" customHeight="false" outlineLevel="0" collapsed="false">
      <c r="A19" s="2" t="s">
        <v>27</v>
      </c>
      <c r="B19" s="3" t="n">
        <f aca="false">COUNTA('1. 공통 피처'!A:A)-1</f>
        <v>17</v>
      </c>
    </row>
    <row r="20" customFormat="false" ht="15" hidden="false" customHeight="false" outlineLevel="0" collapsed="false">
      <c r="A20" s="2" t="s">
        <v>28</v>
      </c>
      <c r="B20" s="3" t="n">
        <f aca="false">COUNTA('2. 질환별 피처'!A:A)-1</f>
        <v>73</v>
      </c>
    </row>
    <row r="21" customFormat="false" ht="15" hidden="false" customHeight="false" outlineLevel="0" collapsed="false">
      <c r="A21" s="2" t="s">
        <v>29</v>
      </c>
      <c r="B21" s="3" t="n">
        <f aca="false">COUNTIF('2. 질환별 피처'!C:C,"모델 피처")</f>
        <v>28</v>
      </c>
    </row>
    <row r="22" customFormat="false" ht="15" hidden="false" customHeight="false" outlineLevel="0" collapsed="false">
      <c r="A22" s="2" t="s">
        <v>30</v>
      </c>
      <c r="B22" s="3" t="n">
        <f aca="false">COUNTIF('2. 질환별 피처'!C:C,"라벨 정의(피처 제외)")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5" min="4" style="0" width="20"/>
    <col collapsed="false" customWidth="true" hidden="false" outlineLevel="0" max="6" min="6" style="0" width="26"/>
    <col collapsed="false" customWidth="true" hidden="false" outlineLevel="0" max="8" min="7" style="0" width="22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7" t="s">
        <v>40</v>
      </c>
      <c r="K1" s="7" t="s">
        <v>41</v>
      </c>
    </row>
    <row r="2" customFormat="false" ht="29.85" hidden="false" customHeight="false" outlineLevel="0" collapsed="false">
      <c r="A2" s="9" t="s">
        <v>42</v>
      </c>
      <c r="B2" s="10" t="s">
        <v>43</v>
      </c>
      <c r="C2" s="9" t="s">
        <v>44</v>
      </c>
      <c r="D2" s="10" t="s">
        <v>45</v>
      </c>
      <c r="E2" s="10" t="s">
        <v>46</v>
      </c>
      <c r="F2" s="9" t="s">
        <v>42</v>
      </c>
      <c r="G2" s="10" t="s">
        <v>47</v>
      </c>
      <c r="H2" s="9" t="s">
        <v>48</v>
      </c>
      <c r="I2" s="9" t="s">
        <v>49</v>
      </c>
      <c r="J2" s="10" t="s">
        <v>50</v>
      </c>
      <c r="K2" s="10"/>
    </row>
    <row r="3" customFormat="false" ht="15" hidden="false" customHeight="false" outlineLevel="0" collapsed="false">
      <c r="A3" s="9" t="s">
        <v>51</v>
      </c>
      <c r="B3" s="10" t="s">
        <v>52</v>
      </c>
      <c r="C3" s="9" t="s">
        <v>53</v>
      </c>
      <c r="D3" s="9" t="s">
        <v>54</v>
      </c>
      <c r="E3" s="10" t="s">
        <v>52</v>
      </c>
      <c r="F3" s="9" t="s">
        <v>51</v>
      </c>
      <c r="G3" s="10" t="s">
        <v>55</v>
      </c>
      <c r="H3" s="9" t="s">
        <v>56</v>
      </c>
      <c r="I3" s="9" t="s">
        <v>57</v>
      </c>
      <c r="J3" s="10" t="s">
        <v>58</v>
      </c>
      <c r="K3" s="10"/>
    </row>
    <row r="4" customFormat="false" ht="15" hidden="false" customHeight="false" outlineLevel="0" collapsed="false">
      <c r="A4" s="9" t="s">
        <v>59</v>
      </c>
      <c r="B4" s="10" t="s">
        <v>60</v>
      </c>
      <c r="C4" s="9" t="s">
        <v>61</v>
      </c>
      <c r="D4" s="9" t="s">
        <v>62</v>
      </c>
      <c r="E4" s="10" t="s">
        <v>63</v>
      </c>
      <c r="F4" s="9" t="s">
        <v>64</v>
      </c>
      <c r="G4" s="10" t="s">
        <v>65</v>
      </c>
      <c r="H4" s="9" t="s">
        <v>66</v>
      </c>
      <c r="I4" s="9" t="s">
        <v>67</v>
      </c>
      <c r="J4" s="10" t="s">
        <v>58</v>
      </c>
      <c r="K4" s="9" t="s">
        <v>68</v>
      </c>
    </row>
    <row r="5" customFormat="false" ht="29.85" hidden="false" customHeight="false" outlineLevel="0" collapsed="false">
      <c r="A5" s="9" t="s">
        <v>69</v>
      </c>
      <c r="B5" s="10" t="s">
        <v>70</v>
      </c>
      <c r="C5" s="9" t="s">
        <v>61</v>
      </c>
      <c r="D5" s="9" t="s">
        <v>71</v>
      </c>
      <c r="E5" s="10" t="s">
        <v>72</v>
      </c>
      <c r="F5" s="9" t="s">
        <v>73</v>
      </c>
      <c r="G5" s="10" t="s">
        <v>70</v>
      </c>
      <c r="H5" s="9" t="s">
        <v>74</v>
      </c>
      <c r="I5" s="9" t="s">
        <v>75</v>
      </c>
      <c r="J5" s="10" t="s">
        <v>76</v>
      </c>
      <c r="K5" s="10" t="s">
        <v>77</v>
      </c>
    </row>
    <row r="6" customFormat="false" ht="15" hidden="false" customHeight="false" outlineLevel="0" collapsed="false">
      <c r="A6" s="9" t="s">
        <v>78</v>
      </c>
      <c r="B6" s="10" t="s">
        <v>79</v>
      </c>
      <c r="C6" s="9" t="s">
        <v>53</v>
      </c>
      <c r="D6" s="9" t="s">
        <v>80</v>
      </c>
      <c r="E6" s="10" t="s">
        <v>81</v>
      </c>
      <c r="F6" s="9" t="s">
        <v>82</v>
      </c>
      <c r="G6" s="10" t="s">
        <v>83</v>
      </c>
      <c r="H6" s="9" t="s">
        <v>84</v>
      </c>
      <c r="I6" s="9" t="s">
        <v>85</v>
      </c>
      <c r="J6" s="10" t="s">
        <v>58</v>
      </c>
      <c r="K6" s="10"/>
    </row>
    <row r="7" customFormat="false" ht="15" hidden="false" customHeight="false" outlineLevel="0" collapsed="false">
      <c r="A7" s="9" t="s">
        <v>86</v>
      </c>
      <c r="B7" s="10" t="s">
        <v>87</v>
      </c>
      <c r="C7" s="9" t="s">
        <v>44</v>
      </c>
      <c r="D7" s="10" t="s">
        <v>88</v>
      </c>
      <c r="E7" s="10" t="s">
        <v>81</v>
      </c>
      <c r="F7" s="9" t="s">
        <v>89</v>
      </c>
      <c r="G7" s="10" t="s">
        <v>90</v>
      </c>
      <c r="H7" s="9" t="s">
        <v>91</v>
      </c>
      <c r="I7" s="9" t="s">
        <v>92</v>
      </c>
      <c r="J7" s="10" t="s">
        <v>58</v>
      </c>
      <c r="K7" s="9" t="s">
        <v>93</v>
      </c>
    </row>
    <row r="8" customFormat="false" ht="29.85" hidden="false" customHeight="false" outlineLevel="0" collapsed="false">
      <c r="A8" s="9" t="s">
        <v>94</v>
      </c>
      <c r="B8" s="10" t="s">
        <v>95</v>
      </c>
      <c r="C8" s="9" t="s">
        <v>44</v>
      </c>
      <c r="D8" s="10" t="s">
        <v>96</v>
      </c>
      <c r="E8" s="10" t="s">
        <v>81</v>
      </c>
      <c r="F8" s="9" t="s">
        <v>97</v>
      </c>
      <c r="G8" s="9" t="s">
        <v>74</v>
      </c>
      <c r="H8" s="9" t="s">
        <v>98</v>
      </c>
      <c r="I8" s="9" t="s">
        <v>99</v>
      </c>
      <c r="J8" s="10" t="s">
        <v>58</v>
      </c>
      <c r="K8" s="10"/>
    </row>
    <row r="9" customFormat="false" ht="15" hidden="false" customHeight="false" outlineLevel="0" collapsed="false">
      <c r="A9" s="9" t="s">
        <v>100</v>
      </c>
      <c r="B9" s="10" t="s">
        <v>101</v>
      </c>
      <c r="C9" s="9" t="s">
        <v>61</v>
      </c>
      <c r="D9" s="10" t="s">
        <v>102</v>
      </c>
      <c r="E9" s="10" t="s">
        <v>81</v>
      </c>
      <c r="F9" s="9" t="s">
        <v>103</v>
      </c>
      <c r="G9" s="9" t="s">
        <v>74</v>
      </c>
      <c r="H9" s="9" t="s">
        <v>74</v>
      </c>
      <c r="I9" s="9" t="s">
        <v>104</v>
      </c>
      <c r="J9" s="10" t="s">
        <v>58</v>
      </c>
      <c r="K9" s="10"/>
    </row>
    <row r="10" customFormat="false" ht="15" hidden="false" customHeight="false" outlineLevel="0" collapsed="false">
      <c r="A10" s="9" t="s">
        <v>105</v>
      </c>
      <c r="B10" s="10" t="s">
        <v>106</v>
      </c>
      <c r="C10" s="9" t="s">
        <v>107</v>
      </c>
      <c r="D10" s="9" t="s">
        <v>108</v>
      </c>
      <c r="E10" s="10" t="s">
        <v>109</v>
      </c>
      <c r="F10" s="9" t="s">
        <v>110</v>
      </c>
      <c r="G10" s="9" t="s">
        <v>74</v>
      </c>
      <c r="H10" s="9" t="s">
        <v>74</v>
      </c>
      <c r="I10" s="9" t="s">
        <v>74</v>
      </c>
      <c r="J10" s="10" t="s">
        <v>111</v>
      </c>
      <c r="K10" s="10"/>
    </row>
    <row r="11" customFormat="false" ht="15" hidden="false" customHeight="false" outlineLevel="0" collapsed="false">
      <c r="A11" s="9" t="s">
        <v>112</v>
      </c>
      <c r="B11" s="10" t="s">
        <v>113</v>
      </c>
      <c r="C11" s="9" t="s">
        <v>107</v>
      </c>
      <c r="D11" s="9" t="s">
        <v>108</v>
      </c>
      <c r="E11" s="10" t="s">
        <v>109</v>
      </c>
      <c r="F11" s="9" t="s">
        <v>114</v>
      </c>
      <c r="G11" s="9" t="s">
        <v>74</v>
      </c>
      <c r="H11" s="9" t="s">
        <v>74</v>
      </c>
      <c r="I11" s="9" t="s">
        <v>115</v>
      </c>
      <c r="J11" s="10" t="s">
        <v>58</v>
      </c>
      <c r="K11" s="10"/>
    </row>
    <row r="12" customFormat="false" ht="15" hidden="false" customHeight="false" outlineLevel="0" collapsed="false">
      <c r="A12" s="9" t="s">
        <v>116</v>
      </c>
      <c r="B12" s="10" t="s">
        <v>117</v>
      </c>
      <c r="C12" s="9" t="s">
        <v>107</v>
      </c>
      <c r="D12" s="9" t="s">
        <v>108</v>
      </c>
      <c r="E12" s="10" t="s">
        <v>109</v>
      </c>
      <c r="F12" s="9" t="s">
        <v>118</v>
      </c>
      <c r="G12" s="9" t="s">
        <v>74</v>
      </c>
      <c r="H12" s="9" t="s">
        <v>74</v>
      </c>
      <c r="I12" s="9" t="s">
        <v>74</v>
      </c>
      <c r="J12" s="10" t="s">
        <v>58</v>
      </c>
      <c r="K12" s="9" t="s">
        <v>119</v>
      </c>
    </row>
    <row r="13" customFormat="false" ht="29.85" hidden="false" customHeight="false" outlineLevel="0" collapsed="false">
      <c r="A13" s="9" t="s">
        <v>120</v>
      </c>
      <c r="B13" s="10" t="s">
        <v>121</v>
      </c>
      <c r="C13" s="9" t="s">
        <v>107</v>
      </c>
      <c r="D13" s="9" t="s">
        <v>108</v>
      </c>
      <c r="E13" s="10" t="s">
        <v>122</v>
      </c>
      <c r="F13" s="9" t="s">
        <v>123</v>
      </c>
      <c r="G13" s="9" t="s">
        <v>74</v>
      </c>
      <c r="H13" s="9" t="s">
        <v>124</v>
      </c>
      <c r="I13" s="9" t="s">
        <v>125</v>
      </c>
      <c r="J13" s="10" t="s">
        <v>58</v>
      </c>
      <c r="K13" s="10" t="s">
        <v>126</v>
      </c>
    </row>
    <row r="14" customFormat="false" ht="15" hidden="false" customHeight="false" outlineLevel="0" collapsed="false">
      <c r="A14" s="9" t="s">
        <v>127</v>
      </c>
      <c r="B14" s="10" t="s">
        <v>128</v>
      </c>
      <c r="C14" s="9" t="s">
        <v>107</v>
      </c>
      <c r="D14" s="9" t="s">
        <v>108</v>
      </c>
      <c r="E14" s="10" t="s">
        <v>122</v>
      </c>
      <c r="F14" s="9" t="s">
        <v>129</v>
      </c>
      <c r="G14" s="9" t="s">
        <v>74</v>
      </c>
      <c r="H14" s="9" t="s">
        <v>130</v>
      </c>
      <c r="I14" s="9" t="s">
        <v>131</v>
      </c>
      <c r="J14" s="10" t="s">
        <v>58</v>
      </c>
      <c r="K14" s="10" t="s">
        <v>132</v>
      </c>
    </row>
    <row r="15" customFormat="false" ht="15" hidden="false" customHeight="false" outlineLevel="0" collapsed="false">
      <c r="A15" s="9" t="s">
        <v>133</v>
      </c>
      <c r="B15" s="10" t="s">
        <v>134</v>
      </c>
      <c r="C15" s="9" t="s">
        <v>61</v>
      </c>
      <c r="D15" s="9" t="s">
        <v>135</v>
      </c>
      <c r="E15" s="10" t="s">
        <v>136</v>
      </c>
      <c r="F15" s="10" t="s">
        <v>137</v>
      </c>
      <c r="G15" s="9" t="s">
        <v>74</v>
      </c>
      <c r="H15" s="9" t="s">
        <v>138</v>
      </c>
      <c r="I15" s="9" t="s">
        <v>139</v>
      </c>
      <c r="J15" s="10" t="s">
        <v>140</v>
      </c>
      <c r="K15" s="10" t="s">
        <v>141</v>
      </c>
    </row>
    <row r="16" customFormat="false" ht="29.85" hidden="false" customHeight="false" outlineLevel="0" collapsed="false">
      <c r="A16" s="9" t="s">
        <v>142</v>
      </c>
      <c r="B16" s="10" t="s">
        <v>143</v>
      </c>
      <c r="C16" s="9" t="s">
        <v>61</v>
      </c>
      <c r="D16" s="9" t="s">
        <v>144</v>
      </c>
      <c r="E16" s="10" t="s">
        <v>145</v>
      </c>
      <c r="F16" s="10" t="s">
        <v>146</v>
      </c>
      <c r="G16" s="9" t="s">
        <v>74</v>
      </c>
      <c r="H16" s="9" t="s">
        <v>147</v>
      </c>
      <c r="I16" s="9" t="s">
        <v>148</v>
      </c>
      <c r="J16" s="10" t="s">
        <v>149</v>
      </c>
      <c r="K16" s="10" t="s">
        <v>150</v>
      </c>
    </row>
    <row r="17" customFormat="false" ht="15" hidden="false" customHeight="false" outlineLevel="0" collapsed="false">
      <c r="A17" s="9" t="s">
        <v>151</v>
      </c>
      <c r="B17" s="10" t="s">
        <v>152</v>
      </c>
      <c r="C17" s="9" t="s">
        <v>61</v>
      </c>
      <c r="D17" s="9" t="s">
        <v>144</v>
      </c>
      <c r="E17" s="10" t="s">
        <v>145</v>
      </c>
      <c r="F17" s="10" t="s">
        <v>153</v>
      </c>
      <c r="G17" s="9" t="s">
        <v>74</v>
      </c>
      <c r="H17" s="9" t="s">
        <v>74</v>
      </c>
      <c r="I17" s="9" t="s">
        <v>154</v>
      </c>
      <c r="J17" s="10" t="s">
        <v>155</v>
      </c>
      <c r="K17" s="10"/>
    </row>
    <row r="18" customFormat="false" ht="44" hidden="false" customHeight="false" outlineLevel="0" collapsed="false">
      <c r="A18" s="9" t="s">
        <v>156</v>
      </c>
      <c r="B18" s="10" t="s">
        <v>157</v>
      </c>
      <c r="C18" s="9" t="s">
        <v>61</v>
      </c>
      <c r="D18" s="9" t="s">
        <v>144</v>
      </c>
      <c r="E18" s="10" t="s">
        <v>158</v>
      </c>
      <c r="F18" s="9" t="s">
        <v>159</v>
      </c>
      <c r="G18" s="9" t="s">
        <v>74</v>
      </c>
      <c r="H18" s="9" t="s">
        <v>74</v>
      </c>
      <c r="I18" s="9" t="s">
        <v>74</v>
      </c>
      <c r="J18" s="10" t="s">
        <v>160</v>
      </c>
      <c r="K18" s="10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7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7" t="s">
        <v>162</v>
      </c>
      <c r="B1" s="7" t="s">
        <v>163</v>
      </c>
      <c r="C1" s="7" t="s">
        <v>164</v>
      </c>
      <c r="D1" s="7" t="s">
        <v>165</v>
      </c>
      <c r="E1" s="7" t="s">
        <v>166</v>
      </c>
      <c r="F1" s="7" t="s">
        <v>167</v>
      </c>
      <c r="G1" s="7" t="s">
        <v>168</v>
      </c>
      <c r="H1" s="7" t="s">
        <v>169</v>
      </c>
      <c r="I1" s="7" t="s">
        <v>41</v>
      </c>
    </row>
    <row r="2" customFormat="false" ht="15" hidden="false" customHeight="false" outlineLevel="0" collapsed="false">
      <c r="A2" s="10" t="s">
        <v>170</v>
      </c>
      <c r="B2" s="9" t="s">
        <v>171</v>
      </c>
      <c r="C2" s="11" t="s">
        <v>172</v>
      </c>
      <c r="D2" s="12" t="s">
        <v>173</v>
      </c>
      <c r="E2" s="10" t="s">
        <v>174</v>
      </c>
      <c r="F2" s="12" t="s">
        <v>175</v>
      </c>
      <c r="G2" s="10" t="s">
        <v>176</v>
      </c>
      <c r="H2" s="10"/>
      <c r="I2" s="10"/>
    </row>
    <row r="3" customFormat="false" ht="15" hidden="false" customHeight="false" outlineLevel="0" collapsed="false">
      <c r="A3" s="10" t="s">
        <v>170</v>
      </c>
      <c r="B3" s="9" t="s">
        <v>171</v>
      </c>
      <c r="C3" s="11" t="s">
        <v>172</v>
      </c>
      <c r="D3" s="12" t="s">
        <v>78</v>
      </c>
      <c r="E3" s="10" t="s">
        <v>177</v>
      </c>
      <c r="F3" s="12" t="s">
        <v>175</v>
      </c>
      <c r="G3" s="10" t="s">
        <v>176</v>
      </c>
      <c r="H3" s="10"/>
      <c r="I3" s="10"/>
    </row>
    <row r="4" customFormat="false" ht="15" hidden="false" customHeight="false" outlineLevel="0" collapsed="false">
      <c r="A4" s="10" t="s">
        <v>170</v>
      </c>
      <c r="B4" s="9" t="s">
        <v>171</v>
      </c>
      <c r="C4" s="11" t="s">
        <v>172</v>
      </c>
      <c r="D4" s="12" t="s">
        <v>86</v>
      </c>
      <c r="E4" s="10" t="s">
        <v>178</v>
      </c>
      <c r="F4" s="12" t="s">
        <v>175</v>
      </c>
      <c r="G4" s="10" t="s">
        <v>176</v>
      </c>
      <c r="H4" s="10"/>
      <c r="I4" s="10"/>
    </row>
    <row r="5" customFormat="false" ht="15" hidden="false" customHeight="false" outlineLevel="0" collapsed="false">
      <c r="A5" s="10" t="s">
        <v>170</v>
      </c>
      <c r="B5" s="9" t="s">
        <v>171</v>
      </c>
      <c r="C5" s="11" t="s">
        <v>172</v>
      </c>
      <c r="D5" s="12" t="s">
        <v>94</v>
      </c>
      <c r="E5" s="10" t="s">
        <v>95</v>
      </c>
      <c r="F5" s="12" t="s">
        <v>175</v>
      </c>
      <c r="G5" s="10" t="s">
        <v>176</v>
      </c>
      <c r="H5" s="10"/>
      <c r="I5" s="10"/>
    </row>
    <row r="6" customFormat="false" ht="15" hidden="false" customHeight="false" outlineLevel="0" collapsed="false">
      <c r="A6" s="10" t="s">
        <v>170</v>
      </c>
      <c r="B6" s="9" t="s">
        <v>171</v>
      </c>
      <c r="C6" s="11" t="s">
        <v>172</v>
      </c>
      <c r="D6" s="12" t="s">
        <v>100</v>
      </c>
      <c r="E6" s="10" t="s">
        <v>179</v>
      </c>
      <c r="F6" s="12" t="s">
        <v>175</v>
      </c>
      <c r="G6" s="10" t="s">
        <v>176</v>
      </c>
      <c r="H6" s="10"/>
      <c r="I6" s="10"/>
    </row>
    <row r="7" customFormat="false" ht="15" hidden="false" customHeight="false" outlineLevel="0" collapsed="false">
      <c r="A7" s="10" t="s">
        <v>170</v>
      </c>
      <c r="B7" s="9" t="s">
        <v>171</v>
      </c>
      <c r="C7" s="11" t="s">
        <v>172</v>
      </c>
      <c r="D7" s="12" t="s">
        <v>105</v>
      </c>
      <c r="E7" s="10" t="s">
        <v>106</v>
      </c>
      <c r="F7" s="12" t="s">
        <v>175</v>
      </c>
      <c r="G7" s="10" t="s">
        <v>176</v>
      </c>
      <c r="H7" s="10"/>
      <c r="I7" s="10"/>
    </row>
    <row r="8" customFormat="false" ht="15" hidden="false" customHeight="false" outlineLevel="0" collapsed="false">
      <c r="A8" s="10" t="s">
        <v>170</v>
      </c>
      <c r="B8" s="9" t="s">
        <v>171</v>
      </c>
      <c r="C8" s="13" t="s">
        <v>172</v>
      </c>
      <c r="D8" s="14" t="s">
        <v>127</v>
      </c>
      <c r="E8" s="10" t="s">
        <v>128</v>
      </c>
      <c r="F8" s="14" t="s">
        <v>180</v>
      </c>
      <c r="G8" s="10" t="s">
        <v>176</v>
      </c>
      <c r="H8" s="10"/>
      <c r="I8" s="10"/>
    </row>
    <row r="9" customFormat="false" ht="15" hidden="false" customHeight="false" outlineLevel="0" collapsed="false">
      <c r="A9" s="10" t="s">
        <v>170</v>
      </c>
      <c r="B9" s="9" t="s">
        <v>171</v>
      </c>
      <c r="C9" s="11" t="s">
        <v>172</v>
      </c>
      <c r="D9" s="12" t="s">
        <v>181</v>
      </c>
      <c r="E9" s="9" t="s">
        <v>182</v>
      </c>
      <c r="F9" s="12" t="s">
        <v>175</v>
      </c>
      <c r="G9" s="10" t="s">
        <v>176</v>
      </c>
      <c r="H9" s="10"/>
      <c r="I9" s="10"/>
    </row>
    <row r="10" customFormat="false" ht="15" hidden="false" customHeight="false" outlineLevel="0" collapsed="false">
      <c r="A10" s="10" t="s">
        <v>170</v>
      </c>
      <c r="B10" s="9" t="s">
        <v>171</v>
      </c>
      <c r="C10" s="11" t="s">
        <v>172</v>
      </c>
      <c r="D10" s="12" t="s">
        <v>142</v>
      </c>
      <c r="E10" s="9" t="s">
        <v>183</v>
      </c>
      <c r="F10" s="12" t="s">
        <v>175</v>
      </c>
      <c r="G10" s="10" t="s">
        <v>176</v>
      </c>
      <c r="H10" s="10"/>
      <c r="I10" s="10"/>
    </row>
    <row r="11" customFormat="false" ht="15" hidden="false" customHeight="false" outlineLevel="0" collapsed="false">
      <c r="A11" s="10" t="s">
        <v>170</v>
      </c>
      <c r="B11" s="9" t="s">
        <v>171</v>
      </c>
      <c r="C11" s="15" t="s">
        <v>184</v>
      </c>
      <c r="D11" s="16" t="s">
        <v>185</v>
      </c>
      <c r="E11" s="10" t="s">
        <v>186</v>
      </c>
      <c r="F11" s="15" t="s">
        <v>187</v>
      </c>
      <c r="G11" s="10" t="s">
        <v>188</v>
      </c>
      <c r="H11" s="10"/>
      <c r="I11" s="10" t="s">
        <v>189</v>
      </c>
    </row>
    <row r="12" customFormat="false" ht="15" hidden="false" customHeight="false" outlineLevel="0" collapsed="false">
      <c r="A12" s="10" t="s">
        <v>170</v>
      </c>
      <c r="B12" s="9" t="s">
        <v>171</v>
      </c>
      <c r="C12" s="15" t="s">
        <v>184</v>
      </c>
      <c r="D12" s="16" t="s">
        <v>190</v>
      </c>
      <c r="E12" s="10" t="s">
        <v>191</v>
      </c>
      <c r="F12" s="15" t="s">
        <v>187</v>
      </c>
      <c r="G12" s="10" t="s">
        <v>192</v>
      </c>
      <c r="H12" s="10"/>
      <c r="I12" s="10"/>
    </row>
    <row r="13" customFormat="false" ht="15" hidden="false" customHeight="false" outlineLevel="0" collapsed="false">
      <c r="A13" s="10" t="s">
        <v>170</v>
      </c>
      <c r="B13" s="9" t="s">
        <v>171</v>
      </c>
      <c r="C13" s="17" t="s">
        <v>193</v>
      </c>
      <c r="D13" s="18" t="s">
        <v>194</v>
      </c>
      <c r="E13" s="10" t="s">
        <v>195</v>
      </c>
      <c r="F13" s="17" t="s">
        <v>196</v>
      </c>
      <c r="G13" s="10" t="s">
        <v>197</v>
      </c>
      <c r="H13" s="10" t="s">
        <v>198</v>
      </c>
      <c r="I13" s="10"/>
    </row>
    <row r="14" customFormat="false" ht="29.85" hidden="false" customHeight="false" outlineLevel="0" collapsed="false">
      <c r="A14" s="10" t="s">
        <v>170</v>
      </c>
      <c r="B14" s="9" t="s">
        <v>171</v>
      </c>
      <c r="C14" s="10" t="s">
        <v>199</v>
      </c>
      <c r="D14" s="10" t="s">
        <v>200</v>
      </c>
      <c r="E14" s="10" t="s">
        <v>201</v>
      </c>
      <c r="F14" s="9" t="s">
        <v>74</v>
      </c>
      <c r="G14" s="10" t="s">
        <v>202</v>
      </c>
      <c r="H14" s="10"/>
      <c r="I14" s="10"/>
    </row>
    <row r="15" customFormat="false" ht="15" hidden="false" customHeight="false" outlineLevel="0" collapsed="false">
      <c r="A15" s="10" t="s">
        <v>203</v>
      </c>
      <c r="B15" s="9" t="s">
        <v>171</v>
      </c>
      <c r="C15" s="11" t="s">
        <v>172</v>
      </c>
      <c r="D15" s="12" t="s">
        <v>204</v>
      </c>
      <c r="E15" s="10" t="s">
        <v>174</v>
      </c>
      <c r="F15" s="12" t="s">
        <v>175</v>
      </c>
      <c r="G15" s="10" t="s">
        <v>176</v>
      </c>
      <c r="H15" s="10"/>
      <c r="I15" s="10"/>
    </row>
    <row r="16" customFormat="false" ht="15" hidden="false" customHeight="false" outlineLevel="0" collapsed="false">
      <c r="A16" s="10" t="s">
        <v>203</v>
      </c>
      <c r="B16" s="9" t="s">
        <v>171</v>
      </c>
      <c r="C16" s="11" t="s">
        <v>172</v>
      </c>
      <c r="D16" s="12" t="s">
        <v>69</v>
      </c>
      <c r="E16" s="10" t="s">
        <v>205</v>
      </c>
      <c r="F16" s="12" t="s">
        <v>175</v>
      </c>
      <c r="G16" s="10" t="s">
        <v>176</v>
      </c>
      <c r="H16" s="10"/>
      <c r="I16" s="10"/>
    </row>
    <row r="17" customFormat="false" ht="15" hidden="false" customHeight="false" outlineLevel="0" collapsed="false">
      <c r="A17" s="10" t="s">
        <v>203</v>
      </c>
      <c r="B17" s="9" t="s">
        <v>171</v>
      </c>
      <c r="C17" s="11" t="s">
        <v>172</v>
      </c>
      <c r="D17" s="12" t="s">
        <v>78</v>
      </c>
      <c r="E17" s="10" t="s">
        <v>79</v>
      </c>
      <c r="F17" s="12" t="s">
        <v>175</v>
      </c>
      <c r="G17" s="10" t="s">
        <v>176</v>
      </c>
      <c r="H17" s="10"/>
      <c r="I17" s="10"/>
    </row>
    <row r="18" customFormat="false" ht="15" hidden="false" customHeight="false" outlineLevel="0" collapsed="false">
      <c r="A18" s="10" t="s">
        <v>203</v>
      </c>
      <c r="B18" s="9" t="s">
        <v>171</v>
      </c>
      <c r="C18" s="13" t="s">
        <v>172</v>
      </c>
      <c r="D18" s="14" t="s">
        <v>86</v>
      </c>
      <c r="E18" s="10" t="s">
        <v>206</v>
      </c>
      <c r="F18" s="14" t="s">
        <v>180</v>
      </c>
      <c r="G18" s="10" t="s">
        <v>176</v>
      </c>
      <c r="H18" s="10"/>
      <c r="I18" s="10"/>
    </row>
    <row r="19" customFormat="false" ht="15" hidden="false" customHeight="false" outlineLevel="0" collapsed="false">
      <c r="A19" s="10" t="s">
        <v>203</v>
      </c>
      <c r="B19" s="9" t="s">
        <v>171</v>
      </c>
      <c r="C19" s="11" t="s">
        <v>172</v>
      </c>
      <c r="D19" s="12" t="s">
        <v>94</v>
      </c>
      <c r="E19" s="10" t="s">
        <v>95</v>
      </c>
      <c r="F19" s="12" t="s">
        <v>175</v>
      </c>
      <c r="G19" s="10" t="s">
        <v>176</v>
      </c>
      <c r="H19" s="10"/>
      <c r="I19" s="10"/>
    </row>
    <row r="20" customFormat="false" ht="15" hidden="false" customHeight="false" outlineLevel="0" collapsed="false">
      <c r="A20" s="10" t="s">
        <v>203</v>
      </c>
      <c r="B20" s="9" t="s">
        <v>171</v>
      </c>
      <c r="C20" s="11" t="s">
        <v>172</v>
      </c>
      <c r="D20" s="12" t="s">
        <v>100</v>
      </c>
      <c r="E20" s="10" t="s">
        <v>207</v>
      </c>
      <c r="F20" s="12" t="s">
        <v>175</v>
      </c>
      <c r="G20" s="10" t="s">
        <v>176</v>
      </c>
      <c r="H20" s="10"/>
      <c r="I20" s="10"/>
    </row>
    <row r="21" customFormat="false" ht="15" hidden="false" customHeight="false" outlineLevel="0" collapsed="false">
      <c r="A21" s="10" t="s">
        <v>203</v>
      </c>
      <c r="B21" s="9" t="s">
        <v>171</v>
      </c>
      <c r="C21" s="11" t="s">
        <v>172</v>
      </c>
      <c r="D21" s="12" t="s">
        <v>112</v>
      </c>
      <c r="E21" s="10" t="s">
        <v>113</v>
      </c>
      <c r="F21" s="12" t="s">
        <v>175</v>
      </c>
      <c r="G21" s="10" t="s">
        <v>176</v>
      </c>
      <c r="H21" s="10"/>
      <c r="I21" s="10"/>
    </row>
    <row r="22" customFormat="false" ht="15" hidden="false" customHeight="false" outlineLevel="0" collapsed="false">
      <c r="A22" s="10" t="s">
        <v>203</v>
      </c>
      <c r="B22" s="9" t="s">
        <v>171</v>
      </c>
      <c r="C22" s="11" t="s">
        <v>172</v>
      </c>
      <c r="D22" s="12" t="s">
        <v>120</v>
      </c>
      <c r="E22" s="10" t="s">
        <v>121</v>
      </c>
      <c r="F22" s="12" t="s">
        <v>175</v>
      </c>
      <c r="G22" s="10" t="s">
        <v>176</v>
      </c>
      <c r="H22" s="10"/>
      <c r="I22" s="10"/>
    </row>
    <row r="23" customFormat="false" ht="15" hidden="false" customHeight="false" outlineLevel="0" collapsed="false">
      <c r="A23" s="10" t="s">
        <v>203</v>
      </c>
      <c r="B23" s="9" t="s">
        <v>171</v>
      </c>
      <c r="C23" s="11" t="s">
        <v>172</v>
      </c>
      <c r="D23" s="12" t="s">
        <v>133</v>
      </c>
      <c r="E23" s="9" t="s">
        <v>208</v>
      </c>
      <c r="F23" s="12" t="s">
        <v>175</v>
      </c>
      <c r="G23" s="10" t="s">
        <v>176</v>
      </c>
      <c r="H23" s="10"/>
      <c r="I23" s="10"/>
    </row>
    <row r="24" customFormat="false" ht="15" hidden="false" customHeight="false" outlineLevel="0" collapsed="false">
      <c r="A24" s="10" t="s">
        <v>203</v>
      </c>
      <c r="B24" s="9" t="s">
        <v>171</v>
      </c>
      <c r="C24" s="11" t="s">
        <v>172</v>
      </c>
      <c r="D24" s="12" t="s">
        <v>142</v>
      </c>
      <c r="E24" s="9" t="s">
        <v>209</v>
      </c>
      <c r="F24" s="12" t="s">
        <v>175</v>
      </c>
      <c r="G24" s="10" t="s">
        <v>176</v>
      </c>
      <c r="H24" s="10"/>
      <c r="I24" s="10"/>
    </row>
    <row r="25" customFormat="false" ht="15" hidden="false" customHeight="false" outlineLevel="0" collapsed="false">
      <c r="A25" s="10" t="s">
        <v>203</v>
      </c>
      <c r="B25" s="9" t="s">
        <v>171</v>
      </c>
      <c r="C25" s="15" t="s">
        <v>184</v>
      </c>
      <c r="D25" s="16" t="s">
        <v>210</v>
      </c>
      <c r="E25" s="10" t="s">
        <v>211</v>
      </c>
      <c r="F25" s="15" t="s">
        <v>187</v>
      </c>
      <c r="G25" s="10" t="s">
        <v>212</v>
      </c>
      <c r="H25" s="10"/>
      <c r="I25" s="10" t="s">
        <v>213</v>
      </c>
    </row>
    <row r="26" customFormat="false" ht="15" hidden="false" customHeight="false" outlineLevel="0" collapsed="false">
      <c r="A26" s="10" t="s">
        <v>203</v>
      </c>
      <c r="B26" s="9" t="s">
        <v>171</v>
      </c>
      <c r="C26" s="15" t="s">
        <v>184</v>
      </c>
      <c r="D26" s="16" t="s">
        <v>214</v>
      </c>
      <c r="E26" s="10" t="s">
        <v>215</v>
      </c>
      <c r="F26" s="15" t="s">
        <v>187</v>
      </c>
      <c r="G26" s="10" t="s">
        <v>192</v>
      </c>
      <c r="H26" s="10"/>
      <c r="I26" s="10"/>
    </row>
    <row r="27" customFormat="false" ht="15" hidden="false" customHeight="false" outlineLevel="0" collapsed="false">
      <c r="A27" s="10" t="s">
        <v>203</v>
      </c>
      <c r="B27" s="9" t="s">
        <v>171</v>
      </c>
      <c r="C27" s="17" t="s">
        <v>193</v>
      </c>
      <c r="D27" s="18" t="s">
        <v>216</v>
      </c>
      <c r="E27" s="10" t="s">
        <v>217</v>
      </c>
      <c r="F27" s="17" t="s">
        <v>196</v>
      </c>
      <c r="G27" s="10" t="s">
        <v>218</v>
      </c>
      <c r="H27" s="10" t="s">
        <v>219</v>
      </c>
      <c r="I27" s="10"/>
    </row>
    <row r="28" customFormat="false" ht="15" hidden="false" customHeight="false" outlineLevel="0" collapsed="false">
      <c r="A28" s="10" t="s">
        <v>203</v>
      </c>
      <c r="B28" s="9" t="s">
        <v>171</v>
      </c>
      <c r="C28" s="17" t="s">
        <v>193</v>
      </c>
      <c r="D28" s="18" t="s">
        <v>220</v>
      </c>
      <c r="E28" s="10" t="s">
        <v>221</v>
      </c>
      <c r="F28" s="17" t="s">
        <v>196</v>
      </c>
      <c r="G28" s="10" t="s">
        <v>218</v>
      </c>
      <c r="H28" s="10" t="s">
        <v>222</v>
      </c>
      <c r="I28" s="10"/>
    </row>
    <row r="29" customFormat="false" ht="15" hidden="false" customHeight="false" outlineLevel="0" collapsed="false">
      <c r="A29" s="10" t="s">
        <v>203</v>
      </c>
      <c r="B29" s="9" t="s">
        <v>171</v>
      </c>
      <c r="C29" s="17" t="s">
        <v>193</v>
      </c>
      <c r="D29" s="18" t="s">
        <v>223</v>
      </c>
      <c r="E29" s="9" t="s">
        <v>224</v>
      </c>
      <c r="F29" s="17" t="s">
        <v>196</v>
      </c>
      <c r="G29" s="10" t="s">
        <v>225</v>
      </c>
      <c r="H29" s="10"/>
      <c r="I29" s="10"/>
    </row>
    <row r="30" customFormat="false" ht="29.85" hidden="false" customHeight="false" outlineLevel="0" collapsed="false">
      <c r="A30" s="10" t="s">
        <v>203</v>
      </c>
      <c r="B30" s="9" t="s">
        <v>171</v>
      </c>
      <c r="C30" s="10" t="s">
        <v>199</v>
      </c>
      <c r="D30" s="10" t="s">
        <v>226</v>
      </c>
      <c r="E30" s="10"/>
      <c r="F30" s="9" t="s">
        <v>74</v>
      </c>
      <c r="G30" s="10" t="s">
        <v>202</v>
      </c>
      <c r="H30" s="10"/>
      <c r="I30" s="10"/>
    </row>
    <row r="31" customFormat="false" ht="15" hidden="false" customHeight="false" outlineLevel="0" collapsed="false">
      <c r="A31" s="10" t="s">
        <v>227</v>
      </c>
      <c r="B31" s="9" t="s">
        <v>228</v>
      </c>
      <c r="C31" s="17" t="s">
        <v>193</v>
      </c>
      <c r="D31" s="18" t="s">
        <v>59</v>
      </c>
      <c r="E31" s="10" t="s">
        <v>229</v>
      </c>
      <c r="F31" s="17" t="s">
        <v>196</v>
      </c>
      <c r="G31" s="10" t="s">
        <v>230</v>
      </c>
      <c r="H31" s="10" t="s">
        <v>231</v>
      </c>
      <c r="I31" s="10" t="s">
        <v>232</v>
      </c>
    </row>
    <row r="32" customFormat="false" ht="15" hidden="false" customHeight="false" outlineLevel="0" collapsed="false">
      <c r="A32" s="10" t="s">
        <v>227</v>
      </c>
      <c r="B32" s="9" t="s">
        <v>228</v>
      </c>
      <c r="C32" s="17" t="s">
        <v>193</v>
      </c>
      <c r="D32" s="18" t="s">
        <v>69</v>
      </c>
      <c r="E32" s="10" t="s">
        <v>233</v>
      </c>
      <c r="F32" s="17" t="s">
        <v>196</v>
      </c>
      <c r="G32" s="10" t="s">
        <v>234</v>
      </c>
      <c r="H32" s="10" t="s">
        <v>235</v>
      </c>
      <c r="I32" s="10"/>
    </row>
    <row r="33" customFormat="false" ht="15" hidden="false" customHeight="false" outlineLevel="0" collapsed="false">
      <c r="A33" s="10" t="s">
        <v>227</v>
      </c>
      <c r="B33" s="9" t="s">
        <v>228</v>
      </c>
      <c r="C33" s="17" t="s">
        <v>193</v>
      </c>
      <c r="D33" s="18" t="s">
        <v>236</v>
      </c>
      <c r="E33" s="10" t="s">
        <v>237</v>
      </c>
      <c r="F33" s="17" t="s">
        <v>196</v>
      </c>
      <c r="G33" s="10" t="s">
        <v>238</v>
      </c>
      <c r="H33" s="10"/>
      <c r="I33" s="10"/>
    </row>
    <row r="34" customFormat="false" ht="15" hidden="false" customHeight="false" outlineLevel="0" collapsed="false">
      <c r="A34" s="10" t="s">
        <v>227</v>
      </c>
      <c r="B34" s="9" t="s">
        <v>228</v>
      </c>
      <c r="C34" s="10" t="s">
        <v>199</v>
      </c>
      <c r="D34" s="10" t="s">
        <v>239</v>
      </c>
      <c r="E34" s="9" t="s">
        <v>240</v>
      </c>
      <c r="F34" s="9" t="s">
        <v>74</v>
      </c>
      <c r="G34" s="10" t="s">
        <v>202</v>
      </c>
      <c r="H34" s="10"/>
      <c r="I34" s="10"/>
    </row>
    <row r="35" customFormat="false" ht="15" hidden="false" customHeight="false" outlineLevel="0" collapsed="false">
      <c r="A35" s="10" t="s">
        <v>241</v>
      </c>
      <c r="B35" s="9" t="s">
        <v>242</v>
      </c>
      <c r="C35" s="17" t="s">
        <v>243</v>
      </c>
      <c r="D35" s="18" t="s">
        <v>69</v>
      </c>
      <c r="E35" s="9" t="s">
        <v>244</v>
      </c>
      <c r="F35" s="17" t="s">
        <v>245</v>
      </c>
      <c r="G35" s="10" t="s">
        <v>234</v>
      </c>
      <c r="H35" s="10"/>
      <c r="I35" s="9" t="s">
        <v>246</v>
      </c>
    </row>
    <row r="36" customFormat="false" ht="15" hidden="false" customHeight="false" outlineLevel="0" collapsed="false">
      <c r="A36" s="10" t="s">
        <v>241</v>
      </c>
      <c r="B36" s="9" t="s">
        <v>242</v>
      </c>
      <c r="C36" s="17" t="s">
        <v>243</v>
      </c>
      <c r="D36" s="18" t="s">
        <v>194</v>
      </c>
      <c r="E36" s="9" t="s">
        <v>247</v>
      </c>
      <c r="F36" s="17" t="s">
        <v>245</v>
      </c>
      <c r="G36" s="10" t="s">
        <v>197</v>
      </c>
      <c r="H36" s="10"/>
      <c r="I36" s="10"/>
    </row>
    <row r="37" customFormat="false" ht="15" hidden="false" customHeight="false" outlineLevel="0" collapsed="false">
      <c r="A37" s="10" t="s">
        <v>241</v>
      </c>
      <c r="B37" s="9" t="s">
        <v>242</v>
      </c>
      <c r="C37" s="17" t="s">
        <v>243</v>
      </c>
      <c r="D37" s="18" t="s">
        <v>216</v>
      </c>
      <c r="E37" s="9" t="s">
        <v>248</v>
      </c>
      <c r="F37" s="17" t="s">
        <v>245</v>
      </c>
      <c r="G37" s="10" t="s">
        <v>218</v>
      </c>
      <c r="H37" s="10"/>
      <c r="I37" s="10"/>
    </row>
    <row r="38" customFormat="false" ht="15" hidden="false" customHeight="false" outlineLevel="0" collapsed="false">
      <c r="A38" s="10" t="s">
        <v>241</v>
      </c>
      <c r="B38" s="9" t="s">
        <v>242</v>
      </c>
      <c r="C38" s="17" t="s">
        <v>243</v>
      </c>
      <c r="D38" s="18" t="s">
        <v>249</v>
      </c>
      <c r="E38" s="9" t="s">
        <v>250</v>
      </c>
      <c r="F38" s="17" t="s">
        <v>245</v>
      </c>
      <c r="G38" s="10" t="s">
        <v>225</v>
      </c>
      <c r="H38" s="10"/>
      <c r="I38" s="10" t="s">
        <v>251</v>
      </c>
    </row>
    <row r="39" customFormat="false" ht="15" hidden="false" customHeight="false" outlineLevel="0" collapsed="false">
      <c r="A39" s="10" t="s">
        <v>241</v>
      </c>
      <c r="B39" s="9" t="s">
        <v>242</v>
      </c>
      <c r="C39" s="17" t="s">
        <v>243</v>
      </c>
      <c r="D39" s="18" t="s">
        <v>252</v>
      </c>
      <c r="E39" s="9" t="s">
        <v>253</v>
      </c>
      <c r="F39" s="17" t="s">
        <v>245</v>
      </c>
      <c r="G39" s="10" t="s">
        <v>225</v>
      </c>
      <c r="H39" s="10"/>
      <c r="I39" s="10"/>
    </row>
    <row r="40" customFormat="false" ht="15" hidden="false" customHeight="false" outlineLevel="0" collapsed="false">
      <c r="A40" s="10" t="s">
        <v>241</v>
      </c>
      <c r="B40" s="9" t="s">
        <v>242</v>
      </c>
      <c r="C40" s="13" t="s">
        <v>172</v>
      </c>
      <c r="D40" s="14" t="s">
        <v>254</v>
      </c>
      <c r="E40" s="10" t="s">
        <v>255</v>
      </c>
      <c r="F40" s="14" t="s">
        <v>180</v>
      </c>
      <c r="G40" s="10"/>
      <c r="H40" s="10"/>
      <c r="I40" s="9" t="s">
        <v>256</v>
      </c>
    </row>
    <row r="41" customFormat="false" ht="15" hidden="false" customHeight="false" outlineLevel="0" collapsed="false">
      <c r="A41" s="10" t="s">
        <v>241</v>
      </c>
      <c r="B41" s="9" t="s">
        <v>242</v>
      </c>
      <c r="C41" s="10" t="s">
        <v>199</v>
      </c>
      <c r="D41" s="10" t="s">
        <v>257</v>
      </c>
      <c r="E41" s="10"/>
      <c r="F41" s="9" t="s">
        <v>74</v>
      </c>
      <c r="G41" s="10"/>
      <c r="H41" s="10"/>
      <c r="I41" s="10"/>
    </row>
    <row r="42" customFormat="false" ht="15" hidden="false" customHeight="false" outlineLevel="0" collapsed="false">
      <c r="A42" s="10" t="s">
        <v>258</v>
      </c>
      <c r="B42" s="9" t="s">
        <v>259</v>
      </c>
      <c r="C42" s="11" t="s">
        <v>172</v>
      </c>
      <c r="D42" s="12" t="s">
        <v>42</v>
      </c>
      <c r="E42" s="10" t="s">
        <v>260</v>
      </c>
      <c r="F42" s="12" t="s">
        <v>175</v>
      </c>
      <c r="G42" s="10" t="s">
        <v>261</v>
      </c>
      <c r="H42" s="10"/>
      <c r="I42" s="10"/>
    </row>
    <row r="43" customFormat="false" ht="15" hidden="false" customHeight="false" outlineLevel="0" collapsed="false">
      <c r="A43" s="10" t="s">
        <v>258</v>
      </c>
      <c r="B43" s="9" t="s">
        <v>259</v>
      </c>
      <c r="C43" s="13" t="s">
        <v>172</v>
      </c>
      <c r="D43" s="14" t="s">
        <v>262</v>
      </c>
      <c r="E43" s="10" t="s">
        <v>263</v>
      </c>
      <c r="F43" s="14" t="s">
        <v>180</v>
      </c>
      <c r="G43" s="10" t="s">
        <v>261</v>
      </c>
      <c r="H43" s="10"/>
      <c r="I43" s="10"/>
    </row>
    <row r="44" customFormat="false" ht="15" hidden="false" customHeight="false" outlineLevel="0" collapsed="false">
      <c r="A44" s="10" t="s">
        <v>258</v>
      </c>
      <c r="B44" s="9" t="s">
        <v>259</v>
      </c>
      <c r="C44" s="11" t="s">
        <v>172</v>
      </c>
      <c r="D44" s="12" t="s">
        <v>120</v>
      </c>
      <c r="E44" s="10" t="s">
        <v>121</v>
      </c>
      <c r="F44" s="12" t="s">
        <v>175</v>
      </c>
      <c r="G44" s="10" t="s">
        <v>261</v>
      </c>
      <c r="H44" s="10"/>
      <c r="I44" s="10"/>
    </row>
    <row r="45" customFormat="false" ht="15" hidden="false" customHeight="false" outlineLevel="0" collapsed="false">
      <c r="A45" s="10" t="s">
        <v>258</v>
      </c>
      <c r="B45" s="9" t="s">
        <v>259</v>
      </c>
      <c r="C45" s="11" t="s">
        <v>172</v>
      </c>
      <c r="D45" s="12" t="s">
        <v>127</v>
      </c>
      <c r="E45" s="10" t="s">
        <v>128</v>
      </c>
      <c r="F45" s="12" t="s">
        <v>175</v>
      </c>
      <c r="G45" s="10" t="s">
        <v>261</v>
      </c>
      <c r="H45" s="10"/>
      <c r="I45" s="10"/>
    </row>
    <row r="46" customFormat="false" ht="15" hidden="false" customHeight="false" outlineLevel="0" collapsed="false">
      <c r="A46" s="10" t="s">
        <v>258</v>
      </c>
      <c r="B46" s="9" t="s">
        <v>259</v>
      </c>
      <c r="C46" s="11" t="s">
        <v>172</v>
      </c>
      <c r="D46" s="12" t="s">
        <v>78</v>
      </c>
      <c r="E46" s="10" t="s">
        <v>79</v>
      </c>
      <c r="F46" s="12" t="s">
        <v>175</v>
      </c>
      <c r="G46" s="10" t="s">
        <v>261</v>
      </c>
      <c r="H46" s="10"/>
      <c r="I46" s="10"/>
    </row>
    <row r="47" customFormat="false" ht="15" hidden="false" customHeight="false" outlineLevel="0" collapsed="false">
      <c r="A47" s="10" t="s">
        <v>258</v>
      </c>
      <c r="B47" s="9" t="s">
        <v>259</v>
      </c>
      <c r="C47" s="13" t="s">
        <v>172</v>
      </c>
      <c r="D47" s="14" t="s">
        <v>264</v>
      </c>
      <c r="E47" s="10"/>
      <c r="F47" s="14" t="s">
        <v>180</v>
      </c>
      <c r="G47" s="10" t="s">
        <v>261</v>
      </c>
      <c r="H47" s="10"/>
      <c r="I47" s="10"/>
    </row>
    <row r="48" customFormat="false" ht="15" hidden="false" customHeight="false" outlineLevel="0" collapsed="false">
      <c r="A48" s="10" t="s">
        <v>258</v>
      </c>
      <c r="B48" s="9" t="s">
        <v>259</v>
      </c>
      <c r="C48" s="11" t="s">
        <v>172</v>
      </c>
      <c r="D48" s="12" t="s">
        <v>116</v>
      </c>
      <c r="E48" s="10" t="s">
        <v>117</v>
      </c>
      <c r="F48" s="12" t="s">
        <v>175</v>
      </c>
      <c r="G48" s="10" t="s">
        <v>261</v>
      </c>
      <c r="H48" s="10"/>
      <c r="I48" s="10"/>
    </row>
    <row r="49" customFormat="false" ht="15" hidden="false" customHeight="false" outlineLevel="0" collapsed="false">
      <c r="A49" s="10" t="s">
        <v>258</v>
      </c>
      <c r="B49" s="9" t="s">
        <v>259</v>
      </c>
      <c r="C49" s="13" t="s">
        <v>172</v>
      </c>
      <c r="D49" s="14" t="s">
        <v>265</v>
      </c>
      <c r="E49" s="10" t="s">
        <v>266</v>
      </c>
      <c r="F49" s="14" t="s">
        <v>180</v>
      </c>
      <c r="G49" s="10" t="s">
        <v>261</v>
      </c>
      <c r="H49" s="10"/>
      <c r="I49" s="10"/>
    </row>
    <row r="50" customFormat="false" ht="15" hidden="false" customHeight="false" outlineLevel="0" collapsed="false">
      <c r="A50" s="10" t="s">
        <v>258</v>
      </c>
      <c r="B50" s="9" t="s">
        <v>259</v>
      </c>
      <c r="C50" s="15" t="s">
        <v>184</v>
      </c>
      <c r="D50" s="16" t="s">
        <v>267</v>
      </c>
      <c r="E50" s="9" t="s">
        <v>268</v>
      </c>
      <c r="F50" s="15" t="s">
        <v>187</v>
      </c>
      <c r="G50" s="10" t="s">
        <v>269</v>
      </c>
      <c r="H50" s="10"/>
      <c r="I50" s="10"/>
    </row>
    <row r="51" customFormat="false" ht="15" hidden="false" customHeight="false" outlineLevel="0" collapsed="false">
      <c r="A51" s="10" t="s">
        <v>258</v>
      </c>
      <c r="B51" s="9" t="s">
        <v>259</v>
      </c>
      <c r="C51" s="17" t="s">
        <v>193</v>
      </c>
      <c r="D51" s="18" t="s">
        <v>270</v>
      </c>
      <c r="E51" s="10" t="s">
        <v>271</v>
      </c>
      <c r="F51" s="17" t="s">
        <v>196</v>
      </c>
      <c r="G51" s="10" t="s">
        <v>272</v>
      </c>
      <c r="H51" s="10" t="s">
        <v>273</v>
      </c>
      <c r="I51" s="9" t="s">
        <v>274</v>
      </c>
    </row>
    <row r="52" customFormat="false" ht="15" hidden="false" customHeight="false" outlineLevel="0" collapsed="false">
      <c r="A52" s="10" t="s">
        <v>258</v>
      </c>
      <c r="B52" s="9" t="s">
        <v>259</v>
      </c>
      <c r="C52" s="17" t="s">
        <v>193</v>
      </c>
      <c r="D52" s="18" t="s">
        <v>275</v>
      </c>
      <c r="E52" s="9" t="s">
        <v>276</v>
      </c>
      <c r="F52" s="17" t="s">
        <v>196</v>
      </c>
      <c r="G52" s="10" t="s">
        <v>225</v>
      </c>
      <c r="H52" s="10"/>
      <c r="I52" s="10"/>
    </row>
    <row r="53" customFormat="false" ht="15" hidden="false" customHeight="false" outlineLevel="0" collapsed="false">
      <c r="A53" s="10" t="s">
        <v>258</v>
      </c>
      <c r="B53" s="9" t="s">
        <v>259</v>
      </c>
      <c r="C53" s="10" t="s">
        <v>199</v>
      </c>
      <c r="D53" s="10" t="s">
        <v>277</v>
      </c>
      <c r="E53" s="9" t="s">
        <v>278</v>
      </c>
      <c r="F53" s="9" t="s">
        <v>74</v>
      </c>
      <c r="G53" s="10" t="s">
        <v>202</v>
      </c>
      <c r="H53" s="10"/>
      <c r="I53" s="10"/>
    </row>
    <row r="54" customFormat="false" ht="15" hidden="false" customHeight="false" outlineLevel="0" collapsed="false">
      <c r="A54" s="10" t="s">
        <v>279</v>
      </c>
      <c r="B54" s="9" t="s">
        <v>280</v>
      </c>
      <c r="C54" s="11" t="s">
        <v>281</v>
      </c>
      <c r="D54" s="12" t="s">
        <v>86</v>
      </c>
      <c r="E54" s="10" t="s">
        <v>282</v>
      </c>
      <c r="F54" s="12" t="s">
        <v>175</v>
      </c>
      <c r="G54" s="10" t="s">
        <v>261</v>
      </c>
      <c r="H54" s="10"/>
      <c r="I54" s="10"/>
    </row>
    <row r="55" customFormat="false" ht="15" hidden="false" customHeight="false" outlineLevel="0" collapsed="false">
      <c r="A55" s="10" t="s">
        <v>279</v>
      </c>
      <c r="B55" s="9" t="s">
        <v>280</v>
      </c>
      <c r="C55" s="11" t="s">
        <v>281</v>
      </c>
      <c r="D55" s="12" t="s">
        <v>283</v>
      </c>
      <c r="E55" s="10" t="s">
        <v>284</v>
      </c>
      <c r="F55" s="12" t="s">
        <v>175</v>
      </c>
      <c r="G55" s="10" t="s">
        <v>261</v>
      </c>
      <c r="H55" s="10"/>
      <c r="I55" s="10"/>
    </row>
    <row r="56" customFormat="false" ht="15" hidden="false" customHeight="false" outlineLevel="0" collapsed="false">
      <c r="A56" s="10" t="s">
        <v>279</v>
      </c>
      <c r="B56" s="9" t="s">
        <v>280</v>
      </c>
      <c r="C56" s="11" t="s">
        <v>281</v>
      </c>
      <c r="D56" s="12" t="s">
        <v>127</v>
      </c>
      <c r="E56" s="10" t="s">
        <v>128</v>
      </c>
      <c r="F56" s="12" t="s">
        <v>175</v>
      </c>
      <c r="G56" s="10" t="s">
        <v>261</v>
      </c>
      <c r="H56" s="10"/>
      <c r="I56" s="10"/>
    </row>
    <row r="57" customFormat="false" ht="15" hidden="false" customHeight="false" outlineLevel="0" collapsed="false">
      <c r="A57" s="10" t="s">
        <v>279</v>
      </c>
      <c r="B57" s="9" t="s">
        <v>280</v>
      </c>
      <c r="C57" s="11" t="s">
        <v>281</v>
      </c>
      <c r="D57" s="12" t="s">
        <v>94</v>
      </c>
      <c r="E57" s="10"/>
      <c r="F57" s="12" t="s">
        <v>175</v>
      </c>
      <c r="G57" s="10" t="s">
        <v>261</v>
      </c>
      <c r="H57" s="10"/>
      <c r="I57" s="10"/>
    </row>
    <row r="58" customFormat="false" ht="15" hidden="false" customHeight="false" outlineLevel="0" collapsed="false">
      <c r="A58" s="10" t="s">
        <v>279</v>
      </c>
      <c r="B58" s="9" t="s">
        <v>280</v>
      </c>
      <c r="C58" s="13" t="s">
        <v>281</v>
      </c>
      <c r="D58" s="14" t="s">
        <v>285</v>
      </c>
      <c r="E58" s="10"/>
      <c r="F58" s="14" t="s">
        <v>180</v>
      </c>
      <c r="G58" s="10" t="s">
        <v>261</v>
      </c>
      <c r="H58" s="10"/>
      <c r="I58" s="10"/>
    </row>
    <row r="59" customFormat="false" ht="15" hidden="false" customHeight="false" outlineLevel="0" collapsed="false">
      <c r="A59" s="10" t="s">
        <v>279</v>
      </c>
      <c r="B59" s="9" t="s">
        <v>280</v>
      </c>
      <c r="C59" s="15" t="s">
        <v>184</v>
      </c>
      <c r="D59" s="16" t="s">
        <v>286</v>
      </c>
      <c r="E59" s="9" t="s">
        <v>287</v>
      </c>
      <c r="F59" s="15" t="s">
        <v>187</v>
      </c>
      <c r="G59" s="10" t="s">
        <v>288</v>
      </c>
      <c r="H59" s="10"/>
      <c r="I59" s="10" t="s">
        <v>289</v>
      </c>
    </row>
    <row r="60" customFormat="false" ht="15" hidden="false" customHeight="false" outlineLevel="0" collapsed="false">
      <c r="A60" s="10" t="s">
        <v>279</v>
      </c>
      <c r="B60" s="9" t="s">
        <v>280</v>
      </c>
      <c r="C60" s="17" t="s">
        <v>193</v>
      </c>
      <c r="D60" s="18" t="s">
        <v>290</v>
      </c>
      <c r="E60" s="9" t="s">
        <v>291</v>
      </c>
      <c r="F60" s="17" t="s">
        <v>196</v>
      </c>
      <c r="G60" s="10" t="s">
        <v>225</v>
      </c>
      <c r="H60" s="10"/>
      <c r="I60" s="9" t="s">
        <v>292</v>
      </c>
    </row>
    <row r="61" customFormat="false" ht="15" hidden="false" customHeight="false" outlineLevel="0" collapsed="false">
      <c r="A61" s="10" t="s">
        <v>279</v>
      </c>
      <c r="B61" s="9" t="s">
        <v>280</v>
      </c>
      <c r="C61" s="17" t="s">
        <v>193</v>
      </c>
      <c r="D61" s="18" t="s">
        <v>293</v>
      </c>
      <c r="E61" s="9" t="s">
        <v>294</v>
      </c>
      <c r="F61" s="17" t="s">
        <v>196</v>
      </c>
      <c r="G61" s="10" t="s">
        <v>295</v>
      </c>
      <c r="H61" s="10"/>
      <c r="I61" s="10"/>
    </row>
    <row r="62" customFormat="false" ht="15" hidden="false" customHeight="false" outlineLevel="0" collapsed="false">
      <c r="A62" s="10" t="s">
        <v>279</v>
      </c>
      <c r="B62" s="9" t="s">
        <v>280</v>
      </c>
      <c r="C62" s="10" t="s">
        <v>199</v>
      </c>
      <c r="D62" s="10" t="s">
        <v>296</v>
      </c>
      <c r="E62" s="10"/>
      <c r="F62" s="9" t="s">
        <v>74</v>
      </c>
      <c r="G62" s="10" t="s">
        <v>202</v>
      </c>
      <c r="H62" s="10"/>
      <c r="I62" s="10"/>
    </row>
    <row r="63" customFormat="false" ht="15" hidden="false" customHeight="false" outlineLevel="0" collapsed="false">
      <c r="A63" s="10" t="s">
        <v>297</v>
      </c>
      <c r="B63" s="9" t="s">
        <v>298</v>
      </c>
      <c r="C63" s="11" t="s">
        <v>281</v>
      </c>
      <c r="D63" s="12" t="s">
        <v>127</v>
      </c>
      <c r="E63" s="10" t="s">
        <v>128</v>
      </c>
      <c r="F63" s="12" t="s">
        <v>175</v>
      </c>
      <c r="G63" s="10" t="s">
        <v>261</v>
      </c>
      <c r="H63" s="10"/>
      <c r="I63" s="10"/>
    </row>
    <row r="64" customFormat="false" ht="15" hidden="false" customHeight="false" outlineLevel="0" collapsed="false">
      <c r="A64" s="10" t="s">
        <v>297</v>
      </c>
      <c r="B64" s="9" t="s">
        <v>298</v>
      </c>
      <c r="C64" s="11" t="s">
        <v>281</v>
      </c>
      <c r="D64" s="12" t="s">
        <v>299</v>
      </c>
      <c r="E64" s="10"/>
      <c r="F64" s="12" t="s">
        <v>175</v>
      </c>
      <c r="G64" s="10" t="s">
        <v>261</v>
      </c>
      <c r="H64" s="10"/>
      <c r="I64" s="10"/>
    </row>
    <row r="65" customFormat="false" ht="15" hidden="false" customHeight="false" outlineLevel="0" collapsed="false">
      <c r="A65" s="10" t="s">
        <v>297</v>
      </c>
      <c r="B65" s="9" t="s">
        <v>298</v>
      </c>
      <c r="C65" s="11" t="s">
        <v>281</v>
      </c>
      <c r="D65" s="12" t="s">
        <v>86</v>
      </c>
      <c r="E65" s="10" t="s">
        <v>300</v>
      </c>
      <c r="F65" s="12" t="s">
        <v>175</v>
      </c>
      <c r="G65" s="10" t="s">
        <v>261</v>
      </c>
      <c r="H65" s="10"/>
      <c r="I65" s="10"/>
    </row>
    <row r="66" customFormat="false" ht="15" hidden="false" customHeight="false" outlineLevel="0" collapsed="false">
      <c r="A66" s="10" t="s">
        <v>297</v>
      </c>
      <c r="B66" s="9" t="s">
        <v>298</v>
      </c>
      <c r="C66" s="11" t="s">
        <v>281</v>
      </c>
      <c r="D66" s="12" t="s">
        <v>94</v>
      </c>
      <c r="E66" s="9" t="s">
        <v>301</v>
      </c>
      <c r="F66" s="12" t="s">
        <v>175</v>
      </c>
      <c r="G66" s="10" t="s">
        <v>261</v>
      </c>
      <c r="H66" s="10"/>
      <c r="I66" s="10"/>
    </row>
    <row r="67" customFormat="false" ht="15" hidden="false" customHeight="false" outlineLevel="0" collapsed="false">
      <c r="A67" s="10" t="s">
        <v>297</v>
      </c>
      <c r="B67" s="9" t="s">
        <v>298</v>
      </c>
      <c r="C67" s="13" t="s">
        <v>281</v>
      </c>
      <c r="D67" s="14" t="s">
        <v>78</v>
      </c>
      <c r="E67" s="9" t="s">
        <v>302</v>
      </c>
      <c r="F67" s="14" t="s">
        <v>180</v>
      </c>
      <c r="G67" s="10" t="s">
        <v>261</v>
      </c>
      <c r="H67" s="10"/>
      <c r="I67" s="10"/>
    </row>
    <row r="68" customFormat="false" ht="15" hidden="false" customHeight="false" outlineLevel="0" collapsed="false">
      <c r="A68" s="10" t="s">
        <v>297</v>
      </c>
      <c r="B68" s="9" t="s">
        <v>298</v>
      </c>
      <c r="C68" s="13" t="s">
        <v>281</v>
      </c>
      <c r="D68" s="14" t="s">
        <v>303</v>
      </c>
      <c r="E68" s="10" t="s">
        <v>304</v>
      </c>
      <c r="F68" s="14" t="s">
        <v>180</v>
      </c>
      <c r="G68" s="10" t="s">
        <v>261</v>
      </c>
      <c r="H68" s="10"/>
      <c r="I68" s="10"/>
    </row>
    <row r="69" customFormat="false" ht="29.85" hidden="false" customHeight="false" outlineLevel="0" collapsed="false">
      <c r="A69" s="10" t="s">
        <v>297</v>
      </c>
      <c r="B69" s="9" t="s">
        <v>298</v>
      </c>
      <c r="C69" s="15" t="s">
        <v>184</v>
      </c>
      <c r="D69" s="16" t="s">
        <v>305</v>
      </c>
      <c r="E69" s="10" t="s">
        <v>306</v>
      </c>
      <c r="F69" s="15" t="s">
        <v>187</v>
      </c>
      <c r="G69" s="10" t="s">
        <v>307</v>
      </c>
      <c r="H69" s="10"/>
      <c r="I69" s="10" t="s">
        <v>308</v>
      </c>
    </row>
    <row r="70" customFormat="false" ht="15" hidden="false" customHeight="false" outlineLevel="0" collapsed="false">
      <c r="A70" s="10" t="s">
        <v>297</v>
      </c>
      <c r="B70" s="9" t="s">
        <v>298</v>
      </c>
      <c r="C70" s="17" t="s">
        <v>193</v>
      </c>
      <c r="D70" s="18" t="s">
        <v>309</v>
      </c>
      <c r="E70" s="9" t="s">
        <v>310</v>
      </c>
      <c r="F70" s="17" t="s">
        <v>196</v>
      </c>
      <c r="G70" s="10" t="s">
        <v>225</v>
      </c>
      <c r="H70" s="10"/>
      <c r="I70" s="10"/>
    </row>
    <row r="71" customFormat="false" ht="15" hidden="false" customHeight="false" outlineLevel="0" collapsed="false">
      <c r="A71" s="10" t="s">
        <v>297</v>
      </c>
      <c r="B71" s="9" t="s">
        <v>298</v>
      </c>
      <c r="C71" s="17" t="s">
        <v>193</v>
      </c>
      <c r="D71" s="18" t="s">
        <v>311</v>
      </c>
      <c r="E71" s="9" t="s">
        <v>312</v>
      </c>
      <c r="F71" s="17" t="s">
        <v>196</v>
      </c>
      <c r="G71" s="10" t="s">
        <v>225</v>
      </c>
      <c r="H71" s="10"/>
      <c r="I71" s="10"/>
    </row>
    <row r="72" customFormat="false" ht="15" hidden="false" customHeight="false" outlineLevel="0" collapsed="false">
      <c r="A72" s="10" t="s">
        <v>297</v>
      </c>
      <c r="B72" s="9" t="s">
        <v>298</v>
      </c>
      <c r="C72" s="17" t="s">
        <v>193</v>
      </c>
      <c r="D72" s="18" t="s">
        <v>249</v>
      </c>
      <c r="E72" s="9" t="s">
        <v>313</v>
      </c>
      <c r="F72" s="17" t="s">
        <v>196</v>
      </c>
      <c r="G72" s="10" t="s">
        <v>225</v>
      </c>
      <c r="H72" s="10"/>
      <c r="I72" s="10"/>
    </row>
    <row r="73" customFormat="false" ht="15" hidden="false" customHeight="false" outlineLevel="0" collapsed="false">
      <c r="A73" s="10" t="s">
        <v>297</v>
      </c>
      <c r="B73" s="9" t="s">
        <v>298</v>
      </c>
      <c r="C73" s="17" t="s">
        <v>193</v>
      </c>
      <c r="D73" s="18" t="s">
        <v>252</v>
      </c>
      <c r="E73" s="9" t="s">
        <v>314</v>
      </c>
      <c r="F73" s="17" t="s">
        <v>196</v>
      </c>
      <c r="G73" s="10" t="s">
        <v>225</v>
      </c>
      <c r="H73" s="10"/>
      <c r="I73" s="10"/>
    </row>
    <row r="74" customFormat="false" ht="15" hidden="false" customHeight="false" outlineLevel="0" collapsed="false">
      <c r="A74" s="10" t="s">
        <v>297</v>
      </c>
      <c r="B74" s="9" t="s">
        <v>298</v>
      </c>
      <c r="C74" s="10" t="s">
        <v>199</v>
      </c>
      <c r="D74" s="10" t="s">
        <v>315</v>
      </c>
      <c r="E74" s="10" t="s">
        <v>316</v>
      </c>
      <c r="F74" s="9" t="s">
        <v>74</v>
      </c>
      <c r="G74" s="10" t="s">
        <v>202</v>
      </c>
      <c r="H74" s="10"/>
      <c r="I74" s="10"/>
    </row>
  </sheetData>
  <autoFilter ref="A1:I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7" t="s">
        <v>317</v>
      </c>
      <c r="B1" s="7" t="s">
        <v>170</v>
      </c>
      <c r="C1" s="7" t="s">
        <v>203</v>
      </c>
      <c r="D1" s="7" t="s">
        <v>227</v>
      </c>
      <c r="E1" s="7" t="s">
        <v>241</v>
      </c>
      <c r="F1" s="7" t="s">
        <v>258</v>
      </c>
      <c r="G1" s="7" t="s">
        <v>318</v>
      </c>
      <c r="H1" s="7" t="s">
        <v>297</v>
      </c>
    </row>
    <row r="2" customFormat="false" ht="15" hidden="false" customHeight="false" outlineLevel="0" collapsed="false">
      <c r="A2" s="9" t="s">
        <v>42</v>
      </c>
      <c r="B2" s="19" t="s">
        <v>175</v>
      </c>
      <c r="C2" s="19" t="s">
        <v>175</v>
      </c>
      <c r="D2" s="20" t="s">
        <v>319</v>
      </c>
      <c r="E2" s="20" t="s">
        <v>245</v>
      </c>
      <c r="F2" s="19" t="s">
        <v>175</v>
      </c>
      <c r="G2" s="19" t="s">
        <v>175</v>
      </c>
      <c r="H2" s="19" t="s">
        <v>175</v>
      </c>
    </row>
    <row r="3" customFormat="false" ht="15" hidden="false" customHeight="false" outlineLevel="0" collapsed="false">
      <c r="A3" s="9" t="s">
        <v>51</v>
      </c>
      <c r="B3" s="19" t="s">
        <v>175</v>
      </c>
      <c r="C3" s="19" t="s">
        <v>175</v>
      </c>
      <c r="D3" s="20" t="s">
        <v>319</v>
      </c>
      <c r="E3" s="20" t="s">
        <v>245</v>
      </c>
      <c r="F3" s="21" t="s">
        <v>180</v>
      </c>
      <c r="G3" s="19" t="s">
        <v>175</v>
      </c>
      <c r="H3" s="19" t="s">
        <v>175</v>
      </c>
    </row>
    <row r="4" customFormat="false" ht="15" hidden="false" customHeight="false" outlineLevel="0" collapsed="false">
      <c r="A4" s="9" t="s">
        <v>59</v>
      </c>
      <c r="B4" s="19" t="s">
        <v>175</v>
      </c>
      <c r="C4" s="19" t="s">
        <v>175</v>
      </c>
      <c r="D4" s="20" t="s">
        <v>319</v>
      </c>
      <c r="E4" s="20" t="s">
        <v>245</v>
      </c>
      <c r="F4" s="21" t="s">
        <v>180</v>
      </c>
      <c r="G4" s="19" t="s">
        <v>175</v>
      </c>
      <c r="H4" s="19" t="s">
        <v>175</v>
      </c>
    </row>
    <row r="5" customFormat="false" ht="15" hidden="false" customHeight="false" outlineLevel="0" collapsed="false">
      <c r="A5" s="9" t="s">
        <v>69</v>
      </c>
      <c r="B5" s="21" t="s">
        <v>180</v>
      </c>
      <c r="C5" s="19" t="s">
        <v>175</v>
      </c>
      <c r="D5" s="20" t="s">
        <v>319</v>
      </c>
      <c r="E5" s="20" t="s">
        <v>245</v>
      </c>
      <c r="F5" s="21" t="s">
        <v>180</v>
      </c>
      <c r="G5" s="19" t="s">
        <v>175</v>
      </c>
      <c r="H5" s="19" t="s">
        <v>175</v>
      </c>
    </row>
    <row r="6" customFormat="false" ht="15" hidden="false" customHeight="false" outlineLevel="0" collapsed="false">
      <c r="A6" s="9" t="s">
        <v>78</v>
      </c>
      <c r="B6" s="19" t="s">
        <v>175</v>
      </c>
      <c r="C6" s="19" t="s">
        <v>175</v>
      </c>
      <c r="D6" s="22" t="s">
        <v>74</v>
      </c>
      <c r="E6" s="22" t="s">
        <v>74</v>
      </c>
      <c r="F6" s="19" t="s">
        <v>175</v>
      </c>
      <c r="G6" s="21" t="s">
        <v>180</v>
      </c>
      <c r="H6" s="21" t="s">
        <v>180</v>
      </c>
    </row>
    <row r="7" customFormat="false" ht="15" hidden="false" customHeight="false" outlineLevel="0" collapsed="false">
      <c r="A7" s="9" t="s">
        <v>86</v>
      </c>
      <c r="B7" s="19" t="s">
        <v>175</v>
      </c>
      <c r="C7" s="21" t="s">
        <v>180</v>
      </c>
      <c r="D7" s="21" t="s">
        <v>180</v>
      </c>
      <c r="E7" s="22" t="s">
        <v>74</v>
      </c>
      <c r="F7" s="21" t="s">
        <v>180</v>
      </c>
      <c r="G7" s="19" t="s">
        <v>175</v>
      </c>
      <c r="H7" s="19" t="s">
        <v>175</v>
      </c>
    </row>
    <row r="8" customFormat="false" ht="15" hidden="false" customHeight="false" outlineLevel="0" collapsed="false">
      <c r="A8" s="9" t="s">
        <v>94</v>
      </c>
      <c r="B8" s="19" t="s">
        <v>175</v>
      </c>
      <c r="C8" s="19" t="s">
        <v>175</v>
      </c>
      <c r="D8" s="19" t="s">
        <v>175</v>
      </c>
      <c r="E8" s="22" t="s">
        <v>74</v>
      </c>
      <c r="F8" s="21" t="s">
        <v>180</v>
      </c>
      <c r="G8" s="19" t="s">
        <v>175</v>
      </c>
      <c r="H8" s="19" t="s">
        <v>175</v>
      </c>
    </row>
    <row r="9" customFormat="false" ht="15" hidden="false" customHeight="false" outlineLevel="0" collapsed="false">
      <c r="A9" s="9" t="s">
        <v>100</v>
      </c>
      <c r="B9" s="19" t="s">
        <v>175</v>
      </c>
      <c r="C9" s="19" t="s">
        <v>175</v>
      </c>
      <c r="D9" s="21" t="s">
        <v>180</v>
      </c>
      <c r="E9" s="22" t="s">
        <v>74</v>
      </c>
      <c r="F9" s="22" t="s">
        <v>74</v>
      </c>
      <c r="G9" s="21" t="s">
        <v>180</v>
      </c>
      <c r="H9" s="22" t="s">
        <v>74</v>
      </c>
    </row>
    <row r="10" customFormat="false" ht="15" hidden="false" customHeight="false" outlineLevel="0" collapsed="false">
      <c r="A10" s="9" t="s">
        <v>105</v>
      </c>
      <c r="B10" s="19" t="s">
        <v>175</v>
      </c>
      <c r="C10" s="21" t="s">
        <v>180</v>
      </c>
      <c r="D10" s="22" t="s">
        <v>74</v>
      </c>
      <c r="E10" s="22" t="s">
        <v>74</v>
      </c>
      <c r="F10" s="21" t="s">
        <v>180</v>
      </c>
      <c r="G10" s="22" t="s">
        <v>74</v>
      </c>
      <c r="H10" s="22" t="s">
        <v>74</v>
      </c>
    </row>
    <row r="11" customFormat="false" ht="15" hidden="false" customHeight="false" outlineLevel="0" collapsed="false">
      <c r="A11" s="9" t="s">
        <v>112</v>
      </c>
      <c r="B11" s="21" t="s">
        <v>180</v>
      </c>
      <c r="C11" s="19" t="s">
        <v>175</v>
      </c>
      <c r="D11" s="22" t="s">
        <v>74</v>
      </c>
      <c r="E11" s="22" t="s">
        <v>74</v>
      </c>
      <c r="F11" s="21" t="s">
        <v>180</v>
      </c>
      <c r="G11" s="22" t="s">
        <v>74</v>
      </c>
      <c r="H11" s="22" t="s">
        <v>74</v>
      </c>
    </row>
    <row r="12" customFormat="false" ht="15" hidden="false" customHeight="false" outlineLevel="0" collapsed="false">
      <c r="A12" s="9" t="s">
        <v>116</v>
      </c>
      <c r="B12" s="22" t="s">
        <v>74</v>
      </c>
      <c r="C12" s="22" t="s">
        <v>74</v>
      </c>
      <c r="D12" s="22" t="s">
        <v>74</v>
      </c>
      <c r="E12" s="22" t="s">
        <v>74</v>
      </c>
      <c r="F12" s="19" t="s">
        <v>175</v>
      </c>
      <c r="G12" s="22" t="s">
        <v>74</v>
      </c>
      <c r="H12" s="22" t="s">
        <v>74</v>
      </c>
    </row>
    <row r="13" customFormat="false" ht="15" hidden="false" customHeight="false" outlineLevel="0" collapsed="false">
      <c r="A13" s="9" t="s">
        <v>120</v>
      </c>
      <c r="B13" s="23" t="s">
        <v>320</v>
      </c>
      <c r="C13" s="19" t="s">
        <v>175</v>
      </c>
      <c r="D13" s="22" t="s">
        <v>74</v>
      </c>
      <c r="E13" s="20" t="s">
        <v>245</v>
      </c>
      <c r="F13" s="19" t="s">
        <v>175</v>
      </c>
      <c r="G13" s="21" t="s">
        <v>180</v>
      </c>
      <c r="H13" s="21" t="s">
        <v>180</v>
      </c>
    </row>
    <row r="14" customFormat="false" ht="15" hidden="false" customHeight="false" outlineLevel="0" collapsed="false">
      <c r="A14" s="9" t="s">
        <v>127</v>
      </c>
      <c r="B14" s="21" t="s">
        <v>180</v>
      </c>
      <c r="C14" s="23" t="s">
        <v>320</v>
      </c>
      <c r="D14" s="22" t="s">
        <v>74</v>
      </c>
      <c r="E14" s="20" t="s">
        <v>245</v>
      </c>
      <c r="F14" s="19" t="s">
        <v>175</v>
      </c>
      <c r="G14" s="19" t="s">
        <v>175</v>
      </c>
      <c r="H14" s="19" t="s">
        <v>175</v>
      </c>
    </row>
    <row r="15" customFormat="false" ht="15" hidden="false" customHeight="false" outlineLevel="0" collapsed="false">
      <c r="A15" s="9" t="s">
        <v>321</v>
      </c>
      <c r="B15" s="19" t="s">
        <v>175</v>
      </c>
      <c r="C15" s="19" t="s">
        <v>175</v>
      </c>
      <c r="D15" s="19" t="s">
        <v>175</v>
      </c>
      <c r="E15" s="22" t="s">
        <v>74</v>
      </c>
      <c r="F15" s="21" t="s">
        <v>180</v>
      </c>
      <c r="G15" s="19" t="s">
        <v>175</v>
      </c>
      <c r="H15" s="21" t="s">
        <v>180</v>
      </c>
    </row>
    <row r="16" customFormat="false" ht="15" hidden="false" customHeight="false" outlineLevel="0" collapsed="false">
      <c r="A16" s="9" t="s">
        <v>142</v>
      </c>
      <c r="B16" s="19" t="s">
        <v>322</v>
      </c>
      <c r="C16" s="19" t="s">
        <v>323</v>
      </c>
      <c r="D16" s="19" t="s">
        <v>175</v>
      </c>
      <c r="E16" s="22" t="s">
        <v>74</v>
      </c>
      <c r="F16" s="21" t="s">
        <v>180</v>
      </c>
      <c r="G16" s="19" t="s">
        <v>175</v>
      </c>
      <c r="H16" s="21" t="s">
        <v>180</v>
      </c>
    </row>
    <row r="17" customFormat="false" ht="15" hidden="false" customHeight="false" outlineLevel="0" collapsed="false">
      <c r="A17" s="9" t="s">
        <v>156</v>
      </c>
      <c r="B17" s="20" t="s">
        <v>324</v>
      </c>
      <c r="C17" s="20" t="s">
        <v>324</v>
      </c>
      <c r="D17" s="20" t="s">
        <v>324</v>
      </c>
      <c r="E17" s="22" t="s">
        <v>74</v>
      </c>
      <c r="F17" s="20" t="s">
        <v>324</v>
      </c>
      <c r="G17" s="22" t="s">
        <v>74</v>
      </c>
      <c r="H17" s="22" t="s">
        <v>74</v>
      </c>
    </row>
    <row r="18" customFormat="false" ht="15" hidden="false" customHeight="false" outlineLevel="0" collapsed="false">
      <c r="A18" s="10" t="s">
        <v>325</v>
      </c>
      <c r="B18" s="23" t="s">
        <v>320</v>
      </c>
      <c r="C18" s="22" t="s">
        <v>74</v>
      </c>
      <c r="D18" s="22" t="s">
        <v>74</v>
      </c>
      <c r="E18" s="20" t="s">
        <v>245</v>
      </c>
      <c r="F18" s="20" t="s">
        <v>196</v>
      </c>
      <c r="G18" s="22" t="s">
        <v>74</v>
      </c>
      <c r="H18" s="22" t="s">
        <v>74</v>
      </c>
    </row>
    <row r="19" customFormat="false" ht="15" hidden="false" customHeight="false" outlineLevel="0" collapsed="false">
      <c r="A19" s="10" t="s">
        <v>326</v>
      </c>
      <c r="B19" s="22" t="s">
        <v>74</v>
      </c>
      <c r="C19" s="23" t="s">
        <v>320</v>
      </c>
      <c r="D19" s="22" t="s">
        <v>74</v>
      </c>
      <c r="E19" s="20" t="s">
        <v>245</v>
      </c>
      <c r="F19" s="20" t="s">
        <v>196</v>
      </c>
      <c r="G19" s="22" t="s">
        <v>74</v>
      </c>
      <c r="H19" s="22" t="s">
        <v>74</v>
      </c>
    </row>
    <row r="20" customFormat="false" ht="15" hidden="false" customHeight="false" outlineLevel="0" collapsed="false">
      <c r="A20" s="10" t="s">
        <v>306</v>
      </c>
      <c r="B20" s="22" t="s">
        <v>74</v>
      </c>
      <c r="C20" s="22" t="s">
        <v>74</v>
      </c>
      <c r="D20" s="22" t="s">
        <v>74</v>
      </c>
      <c r="E20" s="20" t="s">
        <v>245</v>
      </c>
      <c r="F20" s="22" t="s">
        <v>74</v>
      </c>
      <c r="G20" s="20" t="s">
        <v>327</v>
      </c>
      <c r="H20" s="23" t="s">
        <v>320</v>
      </c>
    </row>
    <row r="21" customFormat="false" ht="15" hidden="false" customHeight="false" outlineLevel="0" collapsed="false">
      <c r="A21" s="9" t="s">
        <v>328</v>
      </c>
      <c r="B21" s="22" t="s">
        <v>74</v>
      </c>
      <c r="C21" s="22" t="s">
        <v>74</v>
      </c>
      <c r="D21" s="22" t="s">
        <v>74</v>
      </c>
      <c r="E21" s="22" t="s">
        <v>74</v>
      </c>
      <c r="F21" s="23" t="s">
        <v>320</v>
      </c>
      <c r="G21" s="22" t="s">
        <v>74</v>
      </c>
      <c r="H21" s="22" t="s">
        <v>74</v>
      </c>
    </row>
    <row r="22" customFormat="false" ht="15" hidden="false" customHeight="false" outlineLevel="0" collapsed="false">
      <c r="A22" s="9" t="s">
        <v>329</v>
      </c>
      <c r="B22" s="22" t="s">
        <v>74</v>
      </c>
      <c r="C22" s="22" t="s">
        <v>74</v>
      </c>
      <c r="D22" s="22" t="s">
        <v>74</v>
      </c>
      <c r="E22" s="22" t="s">
        <v>74</v>
      </c>
      <c r="F22" s="22" t="s">
        <v>74</v>
      </c>
      <c r="G22" s="23" t="s">
        <v>330</v>
      </c>
      <c r="H22" s="22" t="s">
        <v>74</v>
      </c>
    </row>
    <row r="23" customFormat="false" ht="15" hidden="false" customHeight="false" outlineLevel="0" collapsed="false">
      <c r="A23" s="10" t="s">
        <v>331</v>
      </c>
      <c r="B23" s="22" t="s">
        <v>74</v>
      </c>
      <c r="C23" s="22" t="s">
        <v>74</v>
      </c>
      <c r="D23" s="20" t="s">
        <v>196</v>
      </c>
      <c r="E23" s="22" t="s">
        <v>74</v>
      </c>
      <c r="F23" s="22" t="s">
        <v>74</v>
      </c>
      <c r="G23" s="20" t="s">
        <v>196</v>
      </c>
      <c r="H23" s="22" t="s">
        <v>74</v>
      </c>
    </row>
    <row r="25" customFormat="false" ht="17.15" hidden="false" customHeight="false" outlineLevel="0" collapsed="false">
      <c r="A25" s="24" t="s">
        <v>332</v>
      </c>
      <c r="B25" s="24" t="s">
        <v>333</v>
      </c>
      <c r="C25" s="24" t="s">
        <v>334</v>
      </c>
      <c r="D25" s="24" t="s">
        <v>335</v>
      </c>
      <c r="E25" s="24" t="s">
        <v>336</v>
      </c>
      <c r="F25" s="24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8" t="s">
        <v>338</v>
      </c>
      <c r="B1" s="7" t="s">
        <v>319</v>
      </c>
      <c r="C1" s="7" t="s">
        <v>339</v>
      </c>
      <c r="D1" s="7" t="s">
        <v>340</v>
      </c>
      <c r="E1" s="7" t="s">
        <v>341</v>
      </c>
      <c r="F1" s="7" t="s">
        <v>342</v>
      </c>
      <c r="G1" s="7" t="s">
        <v>343</v>
      </c>
      <c r="H1" s="7" t="s">
        <v>344</v>
      </c>
      <c r="I1" s="7" t="s">
        <v>41</v>
      </c>
    </row>
    <row r="2" customFormat="false" ht="15" hidden="false" customHeight="false" outlineLevel="0" collapsed="false">
      <c r="A2" s="9" t="s">
        <v>194</v>
      </c>
      <c r="B2" s="10" t="s">
        <v>345</v>
      </c>
      <c r="C2" s="9" t="s">
        <v>346</v>
      </c>
      <c r="D2" s="9" t="s">
        <v>347</v>
      </c>
      <c r="E2" s="9" t="s">
        <v>348</v>
      </c>
      <c r="F2" s="9" t="s">
        <v>349</v>
      </c>
      <c r="G2" s="10" t="s">
        <v>350</v>
      </c>
      <c r="H2" s="10" t="s">
        <v>197</v>
      </c>
      <c r="I2" s="10" t="s">
        <v>351</v>
      </c>
    </row>
    <row r="3" customFormat="false" ht="15" hidden="false" customHeight="false" outlineLevel="0" collapsed="false">
      <c r="A3" s="9" t="s">
        <v>216</v>
      </c>
      <c r="B3" s="10" t="s">
        <v>352</v>
      </c>
      <c r="C3" s="9" t="s">
        <v>353</v>
      </c>
      <c r="D3" s="9" t="s">
        <v>354</v>
      </c>
      <c r="E3" s="9" t="s">
        <v>355</v>
      </c>
      <c r="F3" s="9" t="s">
        <v>356</v>
      </c>
      <c r="G3" s="10" t="s">
        <v>357</v>
      </c>
      <c r="H3" s="10" t="s">
        <v>218</v>
      </c>
      <c r="I3" s="10"/>
    </row>
    <row r="4" customFormat="false" ht="15" hidden="false" customHeight="false" outlineLevel="0" collapsed="false">
      <c r="A4" s="9" t="s">
        <v>220</v>
      </c>
      <c r="B4" s="10" t="s">
        <v>358</v>
      </c>
      <c r="C4" s="9" t="s">
        <v>353</v>
      </c>
      <c r="D4" s="9" t="s">
        <v>359</v>
      </c>
      <c r="E4" s="9" t="s">
        <v>360</v>
      </c>
      <c r="F4" s="9" t="s">
        <v>361</v>
      </c>
      <c r="G4" s="10" t="s">
        <v>357</v>
      </c>
      <c r="H4" s="10" t="s">
        <v>218</v>
      </c>
      <c r="I4" s="10"/>
    </row>
    <row r="5" customFormat="false" ht="15" hidden="false" customHeight="false" outlineLevel="0" collapsed="false">
      <c r="A5" s="9" t="s">
        <v>223</v>
      </c>
      <c r="B5" s="10" t="s">
        <v>362</v>
      </c>
      <c r="C5" s="9" t="s">
        <v>363</v>
      </c>
      <c r="D5" s="9" t="s">
        <v>364</v>
      </c>
      <c r="E5" s="9" t="s">
        <v>365</v>
      </c>
      <c r="F5" s="9" t="s">
        <v>366</v>
      </c>
      <c r="G5" s="10" t="s">
        <v>357</v>
      </c>
      <c r="H5" s="10" t="s">
        <v>288</v>
      </c>
      <c r="I5" s="10" t="s">
        <v>367</v>
      </c>
    </row>
    <row r="6" customFormat="false" ht="15" hidden="false" customHeight="false" outlineLevel="0" collapsed="false">
      <c r="A6" s="9" t="s">
        <v>59</v>
      </c>
      <c r="B6" s="10" t="s">
        <v>60</v>
      </c>
      <c r="C6" s="9" t="s">
        <v>368</v>
      </c>
      <c r="D6" s="9" t="s">
        <v>369</v>
      </c>
      <c r="E6" s="9" t="s">
        <v>370</v>
      </c>
      <c r="F6" s="9" t="s">
        <v>371</v>
      </c>
      <c r="G6" s="10" t="s">
        <v>372</v>
      </c>
      <c r="H6" s="10" t="s">
        <v>238</v>
      </c>
      <c r="I6" s="9" t="s">
        <v>373</v>
      </c>
    </row>
    <row r="7" customFormat="false" ht="15" hidden="false" customHeight="false" outlineLevel="0" collapsed="false">
      <c r="A7" s="9" t="s">
        <v>374</v>
      </c>
      <c r="B7" s="10" t="s">
        <v>70</v>
      </c>
      <c r="C7" s="9" t="s">
        <v>375</v>
      </c>
      <c r="D7" s="10" t="s">
        <v>376</v>
      </c>
      <c r="E7" s="9" t="s">
        <v>74</v>
      </c>
      <c r="F7" s="10" t="s">
        <v>377</v>
      </c>
      <c r="G7" s="10" t="s">
        <v>378</v>
      </c>
      <c r="H7" s="10" t="s">
        <v>234</v>
      </c>
      <c r="I7" s="10" t="s">
        <v>379</v>
      </c>
    </row>
    <row r="8" customFormat="false" ht="15" hidden="false" customHeight="false" outlineLevel="0" collapsed="false">
      <c r="A8" s="9" t="s">
        <v>309</v>
      </c>
      <c r="B8" s="9" t="s">
        <v>380</v>
      </c>
      <c r="C8" s="9" t="s">
        <v>353</v>
      </c>
      <c r="D8" s="9" t="s">
        <v>381</v>
      </c>
      <c r="E8" s="9" t="s">
        <v>382</v>
      </c>
      <c r="F8" s="9" t="s">
        <v>383</v>
      </c>
      <c r="G8" s="10" t="s">
        <v>384</v>
      </c>
      <c r="H8" s="10" t="s">
        <v>288</v>
      </c>
      <c r="I8" s="10"/>
    </row>
    <row r="9" customFormat="false" ht="15" hidden="false" customHeight="false" outlineLevel="0" collapsed="false">
      <c r="A9" s="9" t="s">
        <v>311</v>
      </c>
      <c r="B9" s="10" t="s">
        <v>385</v>
      </c>
      <c r="C9" s="9" t="s">
        <v>353</v>
      </c>
      <c r="D9" s="9" t="s">
        <v>386</v>
      </c>
      <c r="E9" s="9" t="s">
        <v>387</v>
      </c>
      <c r="F9" s="9" t="s">
        <v>388</v>
      </c>
      <c r="G9" s="10" t="s">
        <v>384</v>
      </c>
      <c r="H9" s="10" t="s">
        <v>288</v>
      </c>
      <c r="I9" s="10"/>
    </row>
    <row r="10" customFormat="false" ht="15" hidden="false" customHeight="false" outlineLevel="0" collapsed="false">
      <c r="A10" s="9" t="s">
        <v>249</v>
      </c>
      <c r="B10" s="10" t="s">
        <v>389</v>
      </c>
      <c r="C10" s="9" t="s">
        <v>353</v>
      </c>
      <c r="D10" s="9" t="s">
        <v>390</v>
      </c>
      <c r="E10" s="9" t="s">
        <v>391</v>
      </c>
      <c r="F10" s="9" t="s">
        <v>361</v>
      </c>
      <c r="G10" s="10" t="s">
        <v>384</v>
      </c>
      <c r="H10" s="10" t="s">
        <v>288</v>
      </c>
      <c r="I10" s="10"/>
    </row>
    <row r="11" customFormat="false" ht="15" hidden="false" customHeight="false" outlineLevel="0" collapsed="false">
      <c r="A11" s="9" t="s">
        <v>252</v>
      </c>
      <c r="B11" s="9" t="s">
        <v>392</v>
      </c>
      <c r="C11" s="9" t="s">
        <v>353</v>
      </c>
      <c r="D11" s="9" t="s">
        <v>393</v>
      </c>
      <c r="E11" s="9" t="s">
        <v>394</v>
      </c>
      <c r="F11" s="9" t="s">
        <v>395</v>
      </c>
      <c r="G11" s="10" t="s">
        <v>384</v>
      </c>
      <c r="H11" s="10" t="s">
        <v>288</v>
      </c>
      <c r="I11" s="10" t="s">
        <v>396</v>
      </c>
    </row>
    <row r="12" customFormat="false" ht="15" hidden="false" customHeight="false" outlineLevel="0" collapsed="false">
      <c r="A12" s="9" t="s">
        <v>270</v>
      </c>
      <c r="B12" s="10" t="s">
        <v>397</v>
      </c>
      <c r="C12" s="10" t="s">
        <v>163</v>
      </c>
      <c r="D12" s="10" t="s">
        <v>398</v>
      </c>
      <c r="E12" s="9" t="s">
        <v>399</v>
      </c>
      <c r="F12" s="9" t="s">
        <v>400</v>
      </c>
      <c r="G12" s="9" t="s">
        <v>401</v>
      </c>
      <c r="H12" s="10" t="s">
        <v>402</v>
      </c>
      <c r="I12" s="9" t="s">
        <v>274</v>
      </c>
    </row>
    <row r="13" customFormat="false" ht="23.85" hidden="false" customHeight="false" outlineLevel="0" collapsed="false">
      <c r="A13" s="9" t="s">
        <v>275</v>
      </c>
      <c r="B13" s="10" t="s">
        <v>403</v>
      </c>
      <c r="C13" s="9" t="s">
        <v>404</v>
      </c>
      <c r="D13" s="9" t="s">
        <v>405</v>
      </c>
      <c r="E13" s="9" t="s">
        <v>406</v>
      </c>
      <c r="F13" s="9" t="s">
        <v>407</v>
      </c>
      <c r="G13" s="9" t="s">
        <v>408</v>
      </c>
      <c r="H13" s="10" t="s">
        <v>409</v>
      </c>
      <c r="I13" s="10"/>
    </row>
    <row r="14" customFormat="false" ht="15" hidden="false" customHeight="false" outlineLevel="0" collapsed="false">
      <c r="A14" s="9" t="s">
        <v>410</v>
      </c>
      <c r="B14" s="10" t="s">
        <v>411</v>
      </c>
      <c r="C14" s="9" t="s">
        <v>412</v>
      </c>
      <c r="D14" s="9" t="s">
        <v>413</v>
      </c>
      <c r="E14" s="9" t="s">
        <v>414</v>
      </c>
      <c r="F14" s="9" t="s">
        <v>415</v>
      </c>
      <c r="G14" s="9" t="s">
        <v>416</v>
      </c>
      <c r="H14" s="10" t="s">
        <v>288</v>
      </c>
      <c r="I14" s="10"/>
    </row>
    <row r="15" customFormat="false" ht="15" hidden="false" customHeight="false" outlineLevel="0" collapsed="false">
      <c r="A15" s="9" t="s">
        <v>290</v>
      </c>
      <c r="B15" s="10" t="s">
        <v>417</v>
      </c>
      <c r="C15" s="10" t="s">
        <v>418</v>
      </c>
      <c r="D15" s="9" t="s">
        <v>419</v>
      </c>
      <c r="E15" s="9" t="s">
        <v>420</v>
      </c>
      <c r="F15" s="9" t="s">
        <v>421</v>
      </c>
      <c r="G15" s="9" t="s">
        <v>422</v>
      </c>
      <c r="H15" s="10" t="s">
        <v>423</v>
      </c>
      <c r="I15" s="10" t="s">
        <v>424</v>
      </c>
    </row>
    <row r="16" customFormat="false" ht="29.85" hidden="false" customHeight="false" outlineLevel="0" collapsed="false">
      <c r="A16" s="9" t="s">
        <v>293</v>
      </c>
      <c r="B16" s="10" t="s">
        <v>425</v>
      </c>
      <c r="C16" s="10" t="s">
        <v>418</v>
      </c>
      <c r="D16" s="9" t="s">
        <v>413</v>
      </c>
      <c r="E16" s="9" t="s">
        <v>426</v>
      </c>
      <c r="F16" s="9" t="s">
        <v>427</v>
      </c>
      <c r="G16" s="9" t="s">
        <v>428</v>
      </c>
      <c r="H16" s="10" t="s">
        <v>429</v>
      </c>
      <c r="I16" s="10"/>
    </row>
    <row r="17" customFormat="false" ht="15" hidden="false" customHeight="false" outlineLevel="0" collapsed="false">
      <c r="A17" s="9" t="s">
        <v>430</v>
      </c>
      <c r="B17" s="10" t="s">
        <v>431</v>
      </c>
      <c r="C17" s="9" t="s">
        <v>363</v>
      </c>
      <c r="D17" s="9" t="s">
        <v>432</v>
      </c>
      <c r="E17" s="9" t="s">
        <v>433</v>
      </c>
      <c r="F17" s="9" t="s">
        <v>434</v>
      </c>
      <c r="G17" s="10" t="s">
        <v>435</v>
      </c>
      <c r="H17" s="10" t="s">
        <v>436</v>
      </c>
      <c r="I17" s="10" t="s">
        <v>437</v>
      </c>
    </row>
    <row r="18" customFormat="false" ht="15" hidden="false" customHeight="false" outlineLevel="0" collapsed="false">
      <c r="A18" s="9" t="s">
        <v>438</v>
      </c>
      <c r="B18" s="10" t="s">
        <v>439</v>
      </c>
      <c r="C18" s="10" t="s">
        <v>440</v>
      </c>
      <c r="D18" s="9" t="s">
        <v>441</v>
      </c>
      <c r="E18" s="9" t="s">
        <v>442</v>
      </c>
      <c r="F18" s="9" t="s">
        <v>443</v>
      </c>
      <c r="G18" s="10" t="s">
        <v>444</v>
      </c>
      <c r="H18" s="10" t="s">
        <v>445</v>
      </c>
      <c r="I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0"/>
    <col collapsed="false" customWidth="true" hidden="false" outlineLevel="0" max="4" min="4" style="0" width="20"/>
    <col collapsed="false" customWidth="true" hidden="false" outlineLevel="0" max="7" min="5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7" t="s">
        <v>162</v>
      </c>
      <c r="B1" s="7" t="s">
        <v>446</v>
      </c>
      <c r="C1" s="7" t="s">
        <v>447</v>
      </c>
      <c r="D1" s="8" t="s">
        <v>36</v>
      </c>
      <c r="E1" s="8" t="s">
        <v>37</v>
      </c>
      <c r="F1" s="8" t="s">
        <v>448</v>
      </c>
      <c r="G1" s="8" t="s">
        <v>39</v>
      </c>
      <c r="H1" s="7" t="s">
        <v>449</v>
      </c>
    </row>
    <row r="2" customFormat="false" ht="23.85" hidden="false" customHeight="false" outlineLevel="0" collapsed="false">
      <c r="A2" s="10" t="s">
        <v>170</v>
      </c>
      <c r="B2" s="10" t="s">
        <v>450</v>
      </c>
      <c r="C2" s="16" t="s">
        <v>451</v>
      </c>
      <c r="D2" s="10" t="s">
        <v>452</v>
      </c>
      <c r="E2" s="10" t="s">
        <v>453</v>
      </c>
      <c r="F2" s="9" t="s">
        <v>454</v>
      </c>
      <c r="G2" s="10" t="s">
        <v>452</v>
      </c>
      <c r="H2" s="10" t="s">
        <v>455</v>
      </c>
    </row>
    <row r="3" customFormat="false" ht="15" hidden="false" customHeight="false" outlineLevel="0" collapsed="false">
      <c r="A3" s="10" t="s">
        <v>203</v>
      </c>
      <c r="B3" s="10" t="s">
        <v>456</v>
      </c>
      <c r="C3" s="16" t="s">
        <v>457</v>
      </c>
      <c r="D3" s="10" t="s">
        <v>458</v>
      </c>
      <c r="E3" s="10" t="s">
        <v>459</v>
      </c>
      <c r="F3" s="9" t="s">
        <v>130</v>
      </c>
      <c r="G3" s="10" t="s">
        <v>458</v>
      </c>
      <c r="H3" s="10" t="s">
        <v>455</v>
      </c>
    </row>
    <row r="4" customFormat="false" ht="15" hidden="false" customHeight="false" outlineLevel="0" collapsed="false">
      <c r="A4" s="10" t="s">
        <v>227</v>
      </c>
      <c r="B4" s="9" t="s">
        <v>460</v>
      </c>
      <c r="C4" s="16" t="s">
        <v>461</v>
      </c>
      <c r="D4" s="9" t="s">
        <v>66</v>
      </c>
      <c r="E4" s="9" t="s">
        <v>462</v>
      </c>
      <c r="F4" s="9" t="s">
        <v>66</v>
      </c>
      <c r="G4" s="9" t="s">
        <v>66</v>
      </c>
      <c r="H4" s="10" t="s">
        <v>463</v>
      </c>
    </row>
    <row r="5" customFormat="false" ht="15" hidden="false" customHeight="false" outlineLevel="0" collapsed="false">
      <c r="A5" s="10" t="s">
        <v>241</v>
      </c>
      <c r="B5" s="9" t="s">
        <v>464</v>
      </c>
      <c r="C5" s="16" t="s">
        <v>465</v>
      </c>
      <c r="D5" s="9" t="s">
        <v>466</v>
      </c>
      <c r="E5" s="9" t="s">
        <v>467</v>
      </c>
      <c r="F5" s="10" t="s">
        <v>468</v>
      </c>
      <c r="G5" s="9" t="s">
        <v>466</v>
      </c>
      <c r="H5" s="10" t="s">
        <v>469</v>
      </c>
    </row>
    <row r="6" customFormat="false" ht="15" hidden="false" customHeight="false" outlineLevel="0" collapsed="false">
      <c r="A6" s="10" t="s">
        <v>258</v>
      </c>
      <c r="B6" s="9" t="s">
        <v>470</v>
      </c>
      <c r="C6" s="16" t="s">
        <v>471</v>
      </c>
      <c r="D6" s="9" t="s">
        <v>472</v>
      </c>
      <c r="E6" s="10" t="s">
        <v>473</v>
      </c>
      <c r="F6" s="10" t="s">
        <v>468</v>
      </c>
      <c r="G6" s="9" t="s">
        <v>474</v>
      </c>
      <c r="H6" s="10" t="s">
        <v>475</v>
      </c>
    </row>
    <row r="7" customFormat="false" ht="15" hidden="false" customHeight="false" outlineLevel="0" collapsed="false">
      <c r="A7" s="10" t="s">
        <v>476</v>
      </c>
      <c r="B7" s="9" t="s">
        <v>477</v>
      </c>
      <c r="C7" s="16" t="s">
        <v>286</v>
      </c>
      <c r="D7" s="9" t="s">
        <v>478</v>
      </c>
      <c r="E7" s="10" t="s">
        <v>479</v>
      </c>
      <c r="F7" s="10" t="s">
        <v>468</v>
      </c>
      <c r="G7" s="10" t="s">
        <v>480</v>
      </c>
      <c r="H7" s="10" t="s">
        <v>481</v>
      </c>
    </row>
    <row r="8" customFormat="false" ht="29.85" hidden="false" customHeight="false" outlineLevel="0" collapsed="false">
      <c r="A8" s="10" t="s">
        <v>297</v>
      </c>
      <c r="B8" s="10" t="s">
        <v>482</v>
      </c>
      <c r="C8" s="16" t="s">
        <v>483</v>
      </c>
      <c r="D8" s="10" t="s">
        <v>458</v>
      </c>
      <c r="E8" s="10" t="s">
        <v>306</v>
      </c>
      <c r="F8" s="9" t="s">
        <v>484</v>
      </c>
      <c r="G8" s="10" t="s">
        <v>458</v>
      </c>
      <c r="H8" s="10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7" min="5" style="0" width="26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4"/>
  </cols>
  <sheetData>
    <row r="1" customFormat="false" ht="29.85" hidden="false" customHeight="false" outlineLevel="0" collapsed="false">
      <c r="A1" s="7" t="s">
        <v>162</v>
      </c>
      <c r="B1" s="7" t="s">
        <v>485</v>
      </c>
      <c r="C1" s="8" t="s">
        <v>486</v>
      </c>
      <c r="D1" s="8" t="s">
        <v>487</v>
      </c>
      <c r="E1" s="7" t="s">
        <v>488</v>
      </c>
      <c r="F1" s="7" t="s">
        <v>489</v>
      </c>
      <c r="G1" s="7" t="s">
        <v>490</v>
      </c>
      <c r="H1" s="7" t="s">
        <v>491</v>
      </c>
      <c r="I1" s="7" t="s">
        <v>492</v>
      </c>
      <c r="J1" s="7" t="s">
        <v>41</v>
      </c>
    </row>
    <row r="2" customFormat="false" ht="29.85" hidden="false" customHeight="false" outlineLevel="0" collapsed="false">
      <c r="A2" s="10" t="s">
        <v>170</v>
      </c>
      <c r="B2" s="9" t="s">
        <v>493</v>
      </c>
      <c r="C2" s="9" t="s">
        <v>494</v>
      </c>
      <c r="D2" s="9" t="s">
        <v>495</v>
      </c>
      <c r="E2" s="9" t="s">
        <v>496</v>
      </c>
      <c r="F2" s="9" t="s">
        <v>497</v>
      </c>
      <c r="G2" s="9" t="s">
        <v>498</v>
      </c>
      <c r="H2" s="9" t="s">
        <v>499</v>
      </c>
      <c r="I2" s="10" t="s">
        <v>500</v>
      </c>
      <c r="J2" s="10" t="s">
        <v>501</v>
      </c>
    </row>
    <row r="3" customFormat="false" ht="15" hidden="false" customHeight="false" outlineLevel="0" collapsed="false">
      <c r="A3" s="10" t="s">
        <v>170</v>
      </c>
      <c r="B3" s="9" t="s">
        <v>502</v>
      </c>
      <c r="C3" s="9" t="s">
        <v>503</v>
      </c>
      <c r="D3" s="9" t="s">
        <v>504</v>
      </c>
      <c r="E3" s="9" t="s">
        <v>505</v>
      </c>
      <c r="F3" s="9" t="s">
        <v>506</v>
      </c>
      <c r="G3" s="10"/>
      <c r="H3" s="10"/>
      <c r="I3" s="10"/>
      <c r="J3" s="10"/>
    </row>
    <row r="4" customFormat="false" ht="15" hidden="false" customHeight="false" outlineLevel="0" collapsed="false">
      <c r="A4" s="10" t="s">
        <v>203</v>
      </c>
      <c r="B4" s="9" t="s">
        <v>216</v>
      </c>
      <c r="C4" s="9" t="s">
        <v>507</v>
      </c>
      <c r="D4" s="9" t="s">
        <v>508</v>
      </c>
      <c r="E4" s="9" t="s">
        <v>509</v>
      </c>
      <c r="F4" s="9" t="s">
        <v>510</v>
      </c>
      <c r="G4" s="9" t="s">
        <v>511</v>
      </c>
      <c r="H4" s="9" t="s">
        <v>512</v>
      </c>
      <c r="I4" s="10" t="s">
        <v>513</v>
      </c>
      <c r="J4" s="10"/>
    </row>
    <row r="5" customFormat="false" ht="15" hidden="false" customHeight="false" outlineLevel="0" collapsed="false">
      <c r="A5" s="10" t="s">
        <v>203</v>
      </c>
      <c r="B5" s="9" t="s">
        <v>220</v>
      </c>
      <c r="C5" s="9" t="s">
        <v>495</v>
      </c>
      <c r="D5" s="9" t="s">
        <v>514</v>
      </c>
      <c r="E5" s="9" t="s">
        <v>515</v>
      </c>
      <c r="F5" s="9" t="s">
        <v>516</v>
      </c>
      <c r="G5" s="10"/>
      <c r="H5" s="10"/>
      <c r="I5" s="10"/>
      <c r="J5" s="10"/>
    </row>
    <row r="6" customFormat="false" ht="15" hidden="false" customHeight="false" outlineLevel="0" collapsed="false">
      <c r="A6" s="10" t="s">
        <v>203</v>
      </c>
      <c r="B6" s="9" t="s">
        <v>223</v>
      </c>
      <c r="C6" s="9" t="s">
        <v>517</v>
      </c>
      <c r="D6" s="9" t="s">
        <v>518</v>
      </c>
      <c r="E6" s="9" t="s">
        <v>519</v>
      </c>
      <c r="F6" s="9" t="s">
        <v>520</v>
      </c>
      <c r="G6" s="10"/>
      <c r="H6" s="10"/>
      <c r="I6" s="10" t="s">
        <v>521</v>
      </c>
      <c r="J6" s="10"/>
    </row>
    <row r="7" customFormat="false" ht="29.85" hidden="false" customHeight="false" outlineLevel="0" collapsed="false">
      <c r="A7" s="10" t="s">
        <v>227</v>
      </c>
      <c r="B7" s="9" t="s">
        <v>59</v>
      </c>
      <c r="C7" s="9" t="s">
        <v>522</v>
      </c>
      <c r="D7" s="9" t="s">
        <v>523</v>
      </c>
      <c r="E7" s="9" t="s">
        <v>524</v>
      </c>
      <c r="F7" s="9" t="s">
        <v>525</v>
      </c>
      <c r="G7" s="9" t="s">
        <v>526</v>
      </c>
      <c r="H7" s="9" t="s">
        <v>527</v>
      </c>
      <c r="I7" s="10" t="s">
        <v>528</v>
      </c>
      <c r="J7" s="10" t="s">
        <v>529</v>
      </c>
    </row>
    <row r="8" customFormat="false" ht="15" hidden="false" customHeight="false" outlineLevel="0" collapsed="false">
      <c r="A8" s="10" t="s">
        <v>227</v>
      </c>
      <c r="B8" s="9" t="s">
        <v>374</v>
      </c>
      <c r="C8" s="10" t="s">
        <v>530</v>
      </c>
      <c r="D8" s="10" t="s">
        <v>531</v>
      </c>
      <c r="E8" s="9" t="s">
        <v>532</v>
      </c>
      <c r="F8" s="10" t="s">
        <v>533</v>
      </c>
      <c r="G8" s="10"/>
      <c r="H8" s="10"/>
      <c r="I8" s="10" t="s">
        <v>534</v>
      </c>
      <c r="J8" s="10"/>
    </row>
    <row r="9" customFormat="false" ht="29.85" hidden="false" customHeight="false" outlineLevel="0" collapsed="false">
      <c r="A9" s="10" t="s">
        <v>241</v>
      </c>
      <c r="B9" s="9" t="s">
        <v>535</v>
      </c>
      <c r="C9" s="9" t="s">
        <v>536</v>
      </c>
      <c r="D9" s="9" t="s">
        <v>537</v>
      </c>
      <c r="E9" s="10" t="s">
        <v>538</v>
      </c>
      <c r="F9" s="9" t="s">
        <v>539</v>
      </c>
      <c r="G9" s="10" t="s">
        <v>540</v>
      </c>
      <c r="H9" s="9" t="s">
        <v>74</v>
      </c>
      <c r="I9" s="10" t="s">
        <v>541</v>
      </c>
      <c r="J9" s="10" t="s">
        <v>542</v>
      </c>
    </row>
    <row r="10" customFormat="false" ht="15" hidden="false" customHeight="false" outlineLevel="0" collapsed="false">
      <c r="A10" s="10" t="s">
        <v>258</v>
      </c>
      <c r="B10" s="9" t="s">
        <v>270</v>
      </c>
      <c r="C10" s="10" t="s">
        <v>543</v>
      </c>
      <c r="D10" s="9" t="s">
        <v>544</v>
      </c>
      <c r="E10" s="10" t="s">
        <v>545</v>
      </c>
      <c r="F10" s="9" t="s">
        <v>546</v>
      </c>
      <c r="G10" s="9" t="s">
        <v>547</v>
      </c>
      <c r="H10" s="9" t="s">
        <v>74</v>
      </c>
      <c r="I10" s="10" t="s">
        <v>548</v>
      </c>
      <c r="J10" s="10" t="s">
        <v>549</v>
      </c>
    </row>
    <row r="11" customFormat="false" ht="15" hidden="false" customHeight="false" outlineLevel="0" collapsed="false">
      <c r="A11" s="10" t="s">
        <v>258</v>
      </c>
      <c r="B11" s="9" t="s">
        <v>275</v>
      </c>
      <c r="C11" s="9" t="s">
        <v>504</v>
      </c>
      <c r="D11" s="9" t="s">
        <v>550</v>
      </c>
      <c r="E11" s="9" t="s">
        <v>551</v>
      </c>
      <c r="F11" s="9" t="s">
        <v>552</v>
      </c>
      <c r="G11" s="10"/>
      <c r="H11" s="9" t="s">
        <v>553</v>
      </c>
      <c r="I11" s="10" t="s">
        <v>521</v>
      </c>
      <c r="J11" s="10"/>
    </row>
    <row r="12" customFormat="false" ht="15" hidden="false" customHeight="false" outlineLevel="0" collapsed="false">
      <c r="A12" s="10" t="s">
        <v>258</v>
      </c>
      <c r="B12" s="9" t="s">
        <v>410</v>
      </c>
      <c r="C12" s="9" t="s">
        <v>554</v>
      </c>
      <c r="D12" s="9" t="s">
        <v>555</v>
      </c>
      <c r="E12" s="9" t="s">
        <v>556</v>
      </c>
      <c r="F12" s="9" t="s">
        <v>557</v>
      </c>
      <c r="G12" s="10"/>
      <c r="H12" s="10"/>
      <c r="I12" s="10" t="s">
        <v>521</v>
      </c>
      <c r="J12" s="10"/>
    </row>
    <row r="13" customFormat="false" ht="15" hidden="false" customHeight="false" outlineLevel="0" collapsed="false">
      <c r="A13" s="10" t="s">
        <v>318</v>
      </c>
      <c r="B13" s="9" t="s">
        <v>290</v>
      </c>
      <c r="C13" s="9" t="s">
        <v>555</v>
      </c>
      <c r="D13" s="9" t="s">
        <v>558</v>
      </c>
      <c r="E13" s="9" t="s">
        <v>559</v>
      </c>
      <c r="F13" s="9" t="s">
        <v>560</v>
      </c>
      <c r="G13" s="9" t="s">
        <v>561</v>
      </c>
      <c r="H13" s="9" t="s">
        <v>74</v>
      </c>
      <c r="I13" s="10" t="s">
        <v>521</v>
      </c>
      <c r="J13" s="10" t="s">
        <v>562</v>
      </c>
    </row>
    <row r="14" customFormat="false" ht="15" hidden="false" customHeight="false" outlineLevel="0" collapsed="false">
      <c r="A14" s="10" t="s">
        <v>318</v>
      </c>
      <c r="B14" s="9" t="s">
        <v>293</v>
      </c>
      <c r="C14" s="9" t="s">
        <v>555</v>
      </c>
      <c r="D14" s="9" t="s">
        <v>550</v>
      </c>
      <c r="E14" s="9" t="s">
        <v>563</v>
      </c>
      <c r="F14" s="9" t="s">
        <v>564</v>
      </c>
      <c r="G14" s="10"/>
      <c r="H14" s="10"/>
      <c r="I14" s="10"/>
      <c r="J14" s="10"/>
    </row>
    <row r="15" customFormat="false" ht="15" hidden="false" customHeight="false" outlineLevel="0" collapsed="false">
      <c r="A15" s="10" t="s">
        <v>297</v>
      </c>
      <c r="B15" s="9" t="s">
        <v>309</v>
      </c>
      <c r="C15" s="9" t="s">
        <v>565</v>
      </c>
      <c r="D15" s="9" t="s">
        <v>566</v>
      </c>
      <c r="E15" s="9" t="s">
        <v>567</v>
      </c>
      <c r="F15" s="9" t="s">
        <v>568</v>
      </c>
      <c r="G15" s="9" t="s">
        <v>569</v>
      </c>
      <c r="H15" s="9" t="s">
        <v>570</v>
      </c>
      <c r="I15" s="10" t="s">
        <v>521</v>
      </c>
      <c r="J15" s="10"/>
    </row>
    <row r="16" customFormat="false" ht="15" hidden="false" customHeight="false" outlineLevel="0" collapsed="false">
      <c r="A16" s="10" t="s">
        <v>297</v>
      </c>
      <c r="B16" s="9" t="s">
        <v>311</v>
      </c>
      <c r="C16" s="9" t="s">
        <v>514</v>
      </c>
      <c r="D16" s="9" t="s">
        <v>571</v>
      </c>
      <c r="E16" s="9" t="s">
        <v>572</v>
      </c>
      <c r="F16" s="10"/>
      <c r="G16" s="10"/>
      <c r="H16" s="10"/>
      <c r="I16" s="10"/>
      <c r="J16" s="10"/>
    </row>
    <row r="17" customFormat="false" ht="15" hidden="false" customHeight="false" outlineLevel="0" collapsed="false">
      <c r="A17" s="10" t="s">
        <v>297</v>
      </c>
      <c r="B17" s="9" t="s">
        <v>249</v>
      </c>
      <c r="C17" s="9" t="s">
        <v>573</v>
      </c>
      <c r="D17" s="9" t="s">
        <v>514</v>
      </c>
      <c r="E17" s="9" t="s">
        <v>574</v>
      </c>
      <c r="F17" s="10"/>
      <c r="G17" s="10"/>
      <c r="H17" s="10"/>
      <c r="I17" s="10"/>
      <c r="J17" s="10"/>
    </row>
    <row r="18" customFormat="false" ht="15" hidden="false" customHeight="false" outlineLevel="0" collapsed="false">
      <c r="A18" s="10" t="s">
        <v>297</v>
      </c>
      <c r="B18" s="9" t="s">
        <v>252</v>
      </c>
      <c r="C18" s="9" t="s">
        <v>550</v>
      </c>
      <c r="D18" s="9" t="s">
        <v>575</v>
      </c>
      <c r="E18" s="9" t="s">
        <v>576</v>
      </c>
      <c r="F18" s="9" t="s">
        <v>577</v>
      </c>
      <c r="G18" s="10"/>
      <c r="H18" s="10"/>
      <c r="I18" s="10"/>
      <c r="J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29.85" hidden="false" customHeight="true" outlineLevel="0" collapsed="false">
      <c r="A20" s="25" t="s">
        <v>578</v>
      </c>
      <c r="B20" s="10" t="s">
        <v>579</v>
      </c>
      <c r="C20" s="10"/>
      <c r="D20" s="10"/>
      <c r="E20" s="10"/>
      <c r="F20" s="10"/>
      <c r="G20" s="10"/>
      <c r="H20" s="10"/>
      <c r="I20" s="10"/>
      <c r="J20" s="10"/>
    </row>
  </sheetData>
  <mergeCells count="1">
    <mergeCell ref="B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2026-09-22T04:08:11Z</dcterms:created>
  <dc:creator>openpyxl</dc:creator>
  <dc:description/>
  <dc:language>en-US</dc:language>
  <cp:lastModifiedBy/>
  <dcterms:modified xsi:type="dcterms:W3CDTF">2026-09-22T04:08:11Z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